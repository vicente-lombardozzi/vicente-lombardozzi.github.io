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Vicente\Documents\FACU\ECOLOGICAL ECONOMICS\Environmental Economics and Policy\Assignment\"/>
    </mc:Choice>
  </mc:AlternateContent>
  <xr:revisionPtr revIDLastSave="0" documentId="13_ncr:1_{74D58B04-B066-4F03-8E5A-C58616E06A3C}" xr6:coauthVersionLast="36" xr6:coauthVersionMax="36" xr10:uidLastSave="{00000000-0000-0000-0000-000000000000}"/>
  <bookViews>
    <workbookView xWindow="0" yWindow="0" windowWidth="20490" windowHeight="8940" xr2:uid="{00000000-000D-0000-FFFF-FFFF00000000}"/>
  </bookViews>
  <sheets>
    <sheet name="Cost-Benefit" sheetId="1" r:id="rId1"/>
    <sheet name="CH$ to US$" sheetId="2" r:id="rId2"/>
    <sheet name="CH$ to US$ benefits" sheetId="4" r:id="rId3"/>
    <sheet name="CO2 calculation" sheetId="3" r:id="rId4"/>
    <sheet name="Sensitivity analysis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12" i="5" l="1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5" i="5"/>
  <c r="B6" i="5"/>
  <c r="E25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B158" i="1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E7" i="2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B231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B195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B19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B120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B82" i="1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B45" i="1"/>
  <c r="E30" i="2"/>
  <c r="E29" i="2"/>
  <c r="E25" i="2"/>
  <c r="E26" i="2"/>
  <c r="E24" i="2"/>
  <c r="E23" i="2"/>
  <c r="B6" i="1"/>
  <c r="B7" i="1"/>
  <c r="B9" i="1"/>
  <c r="C6" i="1"/>
  <c r="C7" i="1"/>
  <c r="D6" i="1"/>
  <c r="D7" i="1"/>
  <c r="E6" i="1"/>
  <c r="E7" i="1"/>
  <c r="F6" i="1"/>
  <c r="F7" i="1"/>
  <c r="G6" i="1"/>
  <c r="G7" i="1"/>
  <c r="H6" i="1"/>
  <c r="H7" i="1"/>
  <c r="I6" i="1"/>
  <c r="I7" i="1"/>
  <c r="J6" i="1"/>
  <c r="J7" i="1"/>
  <c r="K6" i="1"/>
  <c r="K7" i="1"/>
  <c r="L6" i="1"/>
  <c r="L7" i="1"/>
  <c r="M6" i="1"/>
  <c r="M7" i="1"/>
  <c r="N6" i="1"/>
  <c r="N7" i="1"/>
  <c r="O6" i="1"/>
  <c r="O7" i="1"/>
  <c r="P6" i="1"/>
  <c r="P7" i="1"/>
  <c r="Q6" i="1"/>
  <c r="Q7" i="1"/>
  <c r="R6" i="1"/>
  <c r="R7" i="1"/>
  <c r="S6" i="1"/>
  <c r="S7" i="1"/>
  <c r="T6" i="1"/>
  <c r="T7" i="1"/>
  <c r="U6" i="1"/>
  <c r="U7" i="1"/>
  <c r="G2" i="3"/>
  <c r="E20" i="2"/>
  <c r="E21" i="2"/>
  <c r="E8" i="2"/>
  <c r="E9" i="2"/>
  <c r="E10" i="2"/>
  <c r="E11" i="2"/>
  <c r="E12" i="2"/>
  <c r="E13" i="2"/>
  <c r="E14" i="2"/>
  <c r="E15" i="2"/>
  <c r="E16" i="2"/>
  <c r="E17" i="2"/>
  <c r="E18" i="2"/>
  <c r="E19" i="2"/>
  <c r="E3" i="2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</calcChain>
</file>

<file path=xl/sharedStrings.xml><?xml version="1.0" encoding="utf-8"?>
<sst xmlns="http://schemas.openxmlformats.org/spreadsheetml/2006/main" count="229" uniqueCount="74">
  <si>
    <t>Year</t>
  </si>
  <si>
    <t>Costs</t>
  </si>
  <si>
    <t>Chilean</t>
  </si>
  <si>
    <t>Dolar</t>
  </si>
  <si>
    <t>US Dolar</t>
  </si>
  <si>
    <t>$1 Chilean =</t>
  </si>
  <si>
    <t>(25/05/2019)</t>
  </si>
  <si>
    <t>Electricity savings per year</t>
  </si>
  <si>
    <t>Ecoambiente</t>
  </si>
  <si>
    <t>Ecolife</t>
  </si>
  <si>
    <t>Detail engineering 1</t>
  </si>
  <si>
    <t>Detail engineering 2</t>
  </si>
  <si>
    <t>Photovoltaic modules 1</t>
  </si>
  <si>
    <t>Photovoltaic modules 2</t>
  </si>
  <si>
    <t>Inversor 1</t>
  </si>
  <si>
    <t>Inversor 2</t>
  </si>
  <si>
    <t>anchor-support structure 1</t>
  </si>
  <si>
    <t>anchor-support structure 2</t>
  </si>
  <si>
    <t>Other equipment and system materials 1</t>
  </si>
  <si>
    <t>Other equipment and system materials 2</t>
  </si>
  <si>
    <t>Workforce 1</t>
  </si>
  <si>
    <t>Workforce 2</t>
  </si>
  <si>
    <t>Administrative spending 1</t>
  </si>
  <si>
    <t>Administrative spending 2</t>
  </si>
  <si>
    <t>Photovoltaic system connection 1</t>
  </si>
  <si>
    <t>Photovoltaic system connection 2</t>
  </si>
  <si>
    <t>Measuring device 1</t>
  </si>
  <si>
    <t>Measuring device 2</t>
  </si>
  <si>
    <t>Direct cost 1</t>
  </si>
  <si>
    <t>General spending (5% of direct cost) 1</t>
  </si>
  <si>
    <t>General spending (5% of direct cost) 2</t>
  </si>
  <si>
    <t>Utilities (10% of direct cost) 1</t>
  </si>
  <si>
    <t>Utilities (10% of direct cost) 2</t>
  </si>
  <si>
    <t>Net value offer 1</t>
  </si>
  <si>
    <t>Net value offer 2</t>
  </si>
  <si>
    <t>I.V.A tax (19%) 1</t>
  </si>
  <si>
    <t>Total value 1</t>
  </si>
  <si>
    <t>Benefits</t>
  </si>
  <si>
    <t>electricity savings</t>
  </si>
  <si>
    <t>Ton-year</t>
  </si>
  <si>
    <r>
      <t>USD17.6 per ton of CO</t>
    </r>
    <r>
      <rPr>
        <vertAlign val="subscript"/>
        <sz val="11"/>
        <color theme="1"/>
        <rFont val="Calibri"/>
        <family val="2"/>
        <scheme val="minor"/>
      </rPr>
      <t xml:space="preserve">2 (EEX, 2018). </t>
    </r>
  </si>
  <si>
    <t>Business as usual</t>
  </si>
  <si>
    <t>C02 emissions</t>
  </si>
  <si>
    <t xml:space="preserve">V (3.5%) </t>
  </si>
  <si>
    <t>B-C</t>
  </si>
  <si>
    <t>NPV</t>
  </si>
  <si>
    <t>CO2 reduced emissions</t>
  </si>
  <si>
    <t>Maintenance</t>
  </si>
  <si>
    <t>Total value installation 1</t>
  </si>
  <si>
    <t>Maintenance costs</t>
  </si>
  <si>
    <t>cleaning supplies</t>
  </si>
  <si>
    <t>Expert visit check</t>
  </si>
  <si>
    <t xml:space="preserve">maintenance </t>
  </si>
  <si>
    <t>Artifacts replacement</t>
  </si>
  <si>
    <t>battery</t>
  </si>
  <si>
    <t>inversor</t>
  </si>
  <si>
    <t>charger controler (20 years lifespan)</t>
  </si>
  <si>
    <t>Ofert N°2 = Ecolife</t>
  </si>
  <si>
    <r>
      <t>Ofert N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1 : 'Ecoambiente Ltd'</t>
    </r>
  </si>
  <si>
    <t>+20% electricity price</t>
  </si>
  <si>
    <t>Sensitivity analysis</t>
  </si>
  <si>
    <t>-20% electricity price</t>
  </si>
  <si>
    <t>Sensitivity analysis 1</t>
  </si>
  <si>
    <t>Sensitivity 2 Chilean discount rate (10%)</t>
  </si>
  <si>
    <t xml:space="preserve">V (10%) </t>
  </si>
  <si>
    <t>Sensitivity 3: Ofert 1+V10%+20% $ energy</t>
  </si>
  <si>
    <t>I.V.A tax (19% of net value offer) 1</t>
  </si>
  <si>
    <t>I.V.A tax (19% of net value offer) 2</t>
  </si>
  <si>
    <t>year</t>
  </si>
  <si>
    <t>Yearly estimated saving CH</t>
  </si>
  <si>
    <t>Yearly estimated saving US$</t>
  </si>
  <si>
    <t>Ofert N°2 = 'Ecolife'</t>
  </si>
  <si>
    <t>Electricity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</si>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</sst>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34341"/>
      <name val="Arial"/>
      <family val="2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3" xfId="0" applyBorder="1"/>
    <xf numFmtId="0" fontId="1" fillId="0" borderId="1" xfId="0" applyFont="1" applyBorder="1"/>
    <xf numFmtId="0" fontId="2" fillId="0" borderId="0" xfId="0" applyFont="1"/>
    <xf numFmtId="0" fontId="0" fillId="0" borderId="3" xfId="0" quotePrefix="1" applyFont="1" applyBorder="1"/>
    <xf numFmtId="0" fontId="0" fillId="0" borderId="0" xfId="0" applyBorder="1"/>
    <xf numFmtId="0" fontId="0" fillId="0" borderId="0" xfId="0" applyAlignment="1">
      <alignment vertical="center"/>
    </xf>
    <xf numFmtId="164" fontId="0" fillId="0" borderId="2" xfId="0" applyNumberFormat="1" applyBorder="1"/>
    <xf numFmtId="0" fontId="0" fillId="0" borderId="3" xfId="0" applyFill="1" applyBorder="1"/>
    <xf numFmtId="0" fontId="4" fillId="0" borderId="1" xfId="0" applyNumberFormat="1" applyFont="1" applyFill="1" applyBorder="1" applyAlignment="1">
      <alignment horizontal="left" vertical="center" wrapText="1" readingOrder="1"/>
    </xf>
    <xf numFmtId="164" fontId="0" fillId="0" borderId="6" xfId="0" applyNumberFormat="1" applyBorder="1"/>
    <xf numFmtId="0" fontId="1" fillId="0" borderId="0" xfId="0" applyNumberFormat="1" applyFont="1"/>
    <xf numFmtId="0" fontId="0" fillId="0" borderId="0" xfId="0" applyNumberFormat="1"/>
    <xf numFmtId="0" fontId="1" fillId="0" borderId="9" xfId="0" applyNumberFormat="1" applyFont="1" applyBorder="1"/>
    <xf numFmtId="0" fontId="1" fillId="0" borderId="10" xfId="0" applyNumberFormat="1" applyFont="1" applyBorder="1"/>
    <xf numFmtId="0" fontId="1" fillId="0" borderId="11" xfId="0" applyNumberFormat="1" applyFont="1" applyBorder="1"/>
    <xf numFmtId="0" fontId="1" fillId="0" borderId="1" xfId="0" applyNumberFormat="1" applyFont="1" applyBorder="1"/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1" fillId="0" borderId="3" xfId="0" applyNumberFormat="1" applyFont="1" applyBorder="1"/>
    <xf numFmtId="0" fontId="0" fillId="0" borderId="3" xfId="0" applyNumberFormat="1" applyBorder="1"/>
    <xf numFmtId="0" fontId="0" fillId="0" borderId="0" xfId="0" applyNumberFormat="1" applyBorder="1"/>
    <xf numFmtId="0" fontId="0" fillId="0" borderId="7" xfId="0" applyNumberFormat="1" applyBorder="1"/>
    <xf numFmtId="0" fontId="0" fillId="0" borderId="3" xfId="0" quotePrefix="1" applyNumberFormat="1" applyFont="1" applyBorder="1"/>
    <xf numFmtId="0" fontId="1" fillId="0" borderId="0" xfId="0" applyNumberFormat="1" applyFont="1" applyBorder="1"/>
    <xf numFmtId="0" fontId="1" fillId="0" borderId="3" xfId="0" applyNumberFormat="1" applyFont="1" applyFill="1" applyBorder="1"/>
    <xf numFmtId="0" fontId="0" fillId="0" borderId="3" xfId="0" applyNumberFormat="1" applyFill="1" applyBorder="1"/>
    <xf numFmtId="0" fontId="0" fillId="0" borderId="0" xfId="0" applyNumberFormat="1" applyFill="1" applyBorder="1"/>
    <xf numFmtId="0" fontId="4" fillId="0" borderId="9" xfId="0" applyNumberFormat="1" applyFont="1" applyFill="1" applyBorder="1" applyAlignment="1">
      <alignment horizontal="left" vertical="center" wrapText="1" readingOrder="1"/>
    </xf>
    <xf numFmtId="0" fontId="0" fillId="0" borderId="9" xfId="0" applyNumberFormat="1" applyBorder="1"/>
    <xf numFmtId="0" fontId="0" fillId="0" borderId="0" xfId="0" quotePrefix="1" applyNumberFormat="1"/>
    <xf numFmtId="1" fontId="0" fillId="0" borderId="0" xfId="0" applyNumberFormat="1" applyBorder="1"/>
    <xf numFmtId="1" fontId="0" fillId="0" borderId="7" xfId="0" applyNumberFormat="1" applyBorder="1"/>
    <xf numFmtId="1" fontId="0" fillId="0" borderId="0" xfId="0" applyNumberFormat="1"/>
    <xf numFmtId="0" fontId="0" fillId="0" borderId="12" xfId="0" applyBorder="1"/>
    <xf numFmtId="1" fontId="0" fillId="0" borderId="12" xfId="0" applyNumberFormat="1" applyBorder="1"/>
    <xf numFmtId="1" fontId="1" fillId="0" borderId="0" xfId="0" applyNumberFormat="1" applyFont="1"/>
    <xf numFmtId="1" fontId="0" fillId="0" borderId="5" xfId="0" applyNumberFormat="1" applyBorder="1" applyAlignment="1">
      <alignment horizontal="left" indent="5"/>
    </xf>
    <xf numFmtId="1" fontId="0" fillId="0" borderId="8" xfId="0" applyNumberFormat="1" applyBorder="1" applyAlignment="1">
      <alignment horizontal="left" indent="5"/>
    </xf>
    <xf numFmtId="1" fontId="0" fillId="0" borderId="5" xfId="0" applyNumberFormat="1" applyBorder="1"/>
    <xf numFmtId="1" fontId="0" fillId="0" borderId="8" xfId="0" applyNumberFormat="1" applyBorder="1"/>
    <xf numFmtId="1" fontId="0" fillId="0" borderId="0" xfId="0" applyNumberFormat="1" applyFill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2" xfId="0" applyNumberFormat="1" applyBorder="1"/>
    <xf numFmtId="1" fontId="0" fillId="0" borderId="6" xfId="0" applyNumberFormat="1" applyBorder="1"/>
    <xf numFmtId="1" fontId="1" fillId="0" borderId="0" xfId="0" applyNumberFormat="1" applyFont="1" applyBorder="1"/>
    <xf numFmtId="1" fontId="1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"/>
  <sheetViews>
    <sheetView tabSelected="1" topLeftCell="A196" zoomScale="53" zoomScaleNormal="53" zoomScaleSheetLayoutView="70" workbookViewId="0">
      <selection activeCell="N205" sqref="N205"/>
    </sheetView>
  </sheetViews>
  <sheetFormatPr defaultRowHeight="15" x14ac:dyDescent="0.25"/>
  <cols>
    <col min="1" max="1" width="23.85546875" style="13" customWidth="1"/>
    <col min="2" max="2" width="16.140625" style="13" customWidth="1"/>
    <col min="3" max="3" width="15.85546875" style="13" customWidth="1"/>
    <col min="4" max="4" width="14.5703125" style="13" customWidth="1"/>
    <col min="5" max="11" width="16.42578125" style="13" bestFit="1" customWidth="1"/>
    <col min="12" max="12" width="17" style="13" customWidth="1"/>
    <col min="13" max="21" width="16.42578125" style="13" bestFit="1" customWidth="1"/>
    <col min="22" max="16384" width="9.140625" style="13"/>
  </cols>
  <sheetData>
    <row r="1" spans="1:21" x14ac:dyDescent="0.25">
      <c r="A1" s="12" t="s">
        <v>41</v>
      </c>
    </row>
    <row r="2" spans="1:21" x14ac:dyDescent="0.25">
      <c r="A2" s="14" t="s">
        <v>0</v>
      </c>
      <c r="B2" s="15">
        <v>1</v>
      </c>
      <c r="C2" s="15">
        <f>1+B2</f>
        <v>2</v>
      </c>
      <c r="D2" s="15">
        <f>+C2+1</f>
        <v>3</v>
      </c>
      <c r="E2" s="15">
        <f t="shared" ref="E2" si="0">+D2+1</f>
        <v>4</v>
      </c>
      <c r="F2" s="15">
        <f t="shared" ref="F2" si="1">+E2+1</f>
        <v>5</v>
      </c>
      <c r="G2" s="15">
        <f t="shared" ref="G2" si="2">+F2+1</f>
        <v>6</v>
      </c>
      <c r="H2" s="15">
        <f t="shared" ref="H2" si="3">+G2+1</f>
        <v>7</v>
      </c>
      <c r="I2" s="15">
        <f t="shared" ref="I2" si="4">+H2+1</f>
        <v>8</v>
      </c>
      <c r="J2" s="15">
        <f t="shared" ref="J2" si="5">+I2+1</f>
        <v>9</v>
      </c>
      <c r="K2" s="15">
        <f t="shared" ref="K2" si="6">+J2+1</f>
        <v>10</v>
      </c>
      <c r="L2" s="15">
        <f t="shared" ref="L2" si="7">+K2+1</f>
        <v>11</v>
      </c>
      <c r="M2" s="15">
        <f t="shared" ref="M2" si="8">+L2+1</f>
        <v>12</v>
      </c>
      <c r="N2" s="15">
        <f t="shared" ref="N2" si="9">+M2+1</f>
        <v>13</v>
      </c>
      <c r="O2" s="15">
        <f t="shared" ref="O2" si="10">+N2+1</f>
        <v>14</v>
      </c>
      <c r="P2" s="15">
        <f t="shared" ref="P2" si="11">+O2+1</f>
        <v>15</v>
      </c>
      <c r="Q2" s="15">
        <f t="shared" ref="Q2" si="12">+P2+1</f>
        <v>16</v>
      </c>
      <c r="R2" s="15">
        <f t="shared" ref="R2" si="13">+Q2+1</f>
        <v>17</v>
      </c>
      <c r="S2" s="15">
        <f t="shared" ref="S2" si="14">+R2+1</f>
        <v>18</v>
      </c>
      <c r="T2" s="15">
        <f t="shared" ref="T2" si="15">+S2+1</f>
        <v>19</v>
      </c>
      <c r="U2" s="16">
        <f t="shared" ref="U2" si="16">+T2+1</f>
        <v>20</v>
      </c>
    </row>
    <row r="3" spans="1:2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</row>
    <row r="4" spans="1:21" x14ac:dyDescent="0.25">
      <c r="A4" s="20" t="s">
        <v>42</v>
      </c>
      <c r="B4" s="45">
        <v>628.32000000000005</v>
      </c>
      <c r="C4" s="45">
        <v>628.32000000000005</v>
      </c>
      <c r="D4" s="45">
        <v>628.32000000000005</v>
      </c>
      <c r="E4" s="45">
        <v>628.32000000000005</v>
      </c>
      <c r="F4" s="45">
        <v>628.32000000000005</v>
      </c>
      <c r="G4" s="45">
        <v>628.32000000000005</v>
      </c>
      <c r="H4" s="45">
        <v>628.32000000000005</v>
      </c>
      <c r="I4" s="45">
        <v>628.32000000000005</v>
      </c>
      <c r="J4" s="45">
        <v>628.32000000000005</v>
      </c>
      <c r="K4" s="45">
        <v>628.32000000000005</v>
      </c>
      <c r="L4" s="45">
        <v>628.32000000000005</v>
      </c>
      <c r="M4" s="45">
        <v>628.32000000000005</v>
      </c>
      <c r="N4" s="45">
        <v>628.32000000000005</v>
      </c>
      <c r="O4" s="45">
        <v>628.32000000000005</v>
      </c>
      <c r="P4" s="45">
        <v>628.32000000000005</v>
      </c>
      <c r="Q4" s="45">
        <v>628.32000000000005</v>
      </c>
      <c r="R4" s="45">
        <v>628.32000000000005</v>
      </c>
      <c r="S4" s="45">
        <v>628.32000000000005</v>
      </c>
      <c r="T4" s="45">
        <v>628.32000000000005</v>
      </c>
      <c r="U4" s="46">
        <v>628.32000000000005</v>
      </c>
    </row>
    <row r="5" spans="1:21" x14ac:dyDescent="0.25">
      <c r="A5" s="14" t="s">
        <v>37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4">
        <v>0</v>
      </c>
    </row>
    <row r="6" spans="1:21" x14ac:dyDescent="0.25">
      <c r="A6" s="10" t="s">
        <v>43</v>
      </c>
      <c r="B6" s="8">
        <f t="shared" ref="B6:U6" si="17">1/((1+0.035)^(B2-1))</f>
        <v>1</v>
      </c>
      <c r="C6" s="8">
        <f t="shared" si="17"/>
        <v>0.96618357487922713</v>
      </c>
      <c r="D6" s="8">
        <f t="shared" si="17"/>
        <v>0.93351070036640305</v>
      </c>
      <c r="E6" s="8">
        <f t="shared" si="17"/>
        <v>0.90194270566802237</v>
      </c>
      <c r="F6" s="8">
        <f t="shared" si="17"/>
        <v>0.87144222769857238</v>
      </c>
      <c r="G6" s="8">
        <f t="shared" si="17"/>
        <v>0.84197316685852419</v>
      </c>
      <c r="H6" s="8">
        <f t="shared" si="17"/>
        <v>0.81350064430775282</v>
      </c>
      <c r="I6" s="8">
        <f t="shared" si="17"/>
        <v>0.78599096068381913</v>
      </c>
      <c r="J6" s="8">
        <f t="shared" si="17"/>
        <v>0.75941155621625056</v>
      </c>
      <c r="K6" s="8">
        <f t="shared" si="17"/>
        <v>0.73373097218961414</v>
      </c>
      <c r="L6" s="8">
        <f t="shared" si="17"/>
        <v>0.70891881370977217</v>
      </c>
      <c r="M6" s="8">
        <f t="shared" si="17"/>
        <v>0.68494571372924851</v>
      </c>
      <c r="N6" s="8">
        <f t="shared" si="17"/>
        <v>0.66178329828912896</v>
      </c>
      <c r="O6" s="8">
        <f t="shared" si="17"/>
        <v>0.63940415293635666</v>
      </c>
      <c r="P6" s="8">
        <f t="shared" si="17"/>
        <v>0.61778179027667302</v>
      </c>
      <c r="Q6" s="8">
        <f t="shared" si="17"/>
        <v>0.59689061862480497</v>
      </c>
      <c r="R6" s="8">
        <f t="shared" si="17"/>
        <v>0.57670591171478747</v>
      </c>
      <c r="S6" s="8">
        <f t="shared" si="17"/>
        <v>0.55720377943457733</v>
      </c>
      <c r="T6" s="8">
        <f t="shared" si="17"/>
        <v>0.53836113955031628</v>
      </c>
      <c r="U6" s="11">
        <f t="shared" si="17"/>
        <v>0.52015569038677911</v>
      </c>
    </row>
    <row r="7" spans="1:21" x14ac:dyDescent="0.25">
      <c r="A7" s="20" t="s">
        <v>44</v>
      </c>
      <c r="B7" s="43">
        <f t="shared" ref="B7:U7" si="18">(B5-B4)*B6</f>
        <v>-628.32000000000005</v>
      </c>
      <c r="C7" s="43">
        <f t="shared" si="18"/>
        <v>-607.07246376811599</v>
      </c>
      <c r="D7" s="43">
        <f t="shared" si="18"/>
        <v>-586.54344325421846</v>
      </c>
      <c r="E7" s="43">
        <f t="shared" si="18"/>
        <v>-566.70864082533183</v>
      </c>
      <c r="F7" s="43">
        <f t="shared" si="18"/>
        <v>-547.54458050756705</v>
      </c>
      <c r="G7" s="43">
        <f t="shared" si="18"/>
        <v>-529.02858020054794</v>
      </c>
      <c r="H7" s="43">
        <f t="shared" si="18"/>
        <v>-511.13872483144729</v>
      </c>
      <c r="I7" s="43">
        <f t="shared" si="18"/>
        <v>-493.85384041685728</v>
      </c>
      <c r="J7" s="43">
        <f t="shared" si="18"/>
        <v>-477.15346900179458</v>
      </c>
      <c r="K7" s="43">
        <f t="shared" si="18"/>
        <v>-461.0178444461784</v>
      </c>
      <c r="L7" s="43">
        <f t="shared" si="18"/>
        <v>-445.4278690301241</v>
      </c>
      <c r="M7" s="43">
        <f t="shared" si="18"/>
        <v>-430.36509085036147</v>
      </c>
      <c r="N7" s="43">
        <f t="shared" si="18"/>
        <v>-415.81168198102552</v>
      </c>
      <c r="O7" s="43">
        <f t="shared" si="18"/>
        <v>-401.75041737297164</v>
      </c>
      <c r="P7" s="43">
        <f t="shared" si="18"/>
        <v>-388.16465446663921</v>
      </c>
      <c r="Q7" s="43">
        <f t="shared" si="18"/>
        <v>-375.0383134943375</v>
      </c>
      <c r="R7" s="43">
        <f t="shared" si="18"/>
        <v>-362.35585844863527</v>
      </c>
      <c r="S7" s="43">
        <f t="shared" si="18"/>
        <v>-350.10227869433368</v>
      </c>
      <c r="T7" s="43">
        <f t="shared" si="18"/>
        <v>-338.26307120225476</v>
      </c>
      <c r="U7" s="44">
        <f t="shared" si="18"/>
        <v>-326.82422338382111</v>
      </c>
    </row>
    <row r="9" spans="1:21" x14ac:dyDescent="0.25">
      <c r="A9" s="12" t="s">
        <v>45</v>
      </c>
      <c r="B9" s="12">
        <f>B7:U7+B7</f>
        <v>-1256.6400000000001</v>
      </c>
    </row>
    <row r="12" spans="1:21" x14ac:dyDescent="0.25">
      <c r="A12" s="12" t="s">
        <v>58</v>
      </c>
    </row>
    <row r="13" spans="1:21" x14ac:dyDescent="0.25">
      <c r="A13" s="14" t="s">
        <v>0</v>
      </c>
      <c r="B13" s="15">
        <v>1</v>
      </c>
      <c r="C13" s="15">
        <f>1+B13</f>
        <v>2</v>
      </c>
      <c r="D13" s="15">
        <f>+C13+1</f>
        <v>3</v>
      </c>
      <c r="E13" s="15">
        <f t="shared" ref="E13:U13" si="19">+D13+1</f>
        <v>4</v>
      </c>
      <c r="F13" s="15">
        <f t="shared" si="19"/>
        <v>5</v>
      </c>
      <c r="G13" s="15">
        <f t="shared" si="19"/>
        <v>6</v>
      </c>
      <c r="H13" s="15">
        <f t="shared" si="19"/>
        <v>7</v>
      </c>
      <c r="I13" s="15">
        <f t="shared" si="19"/>
        <v>8</v>
      </c>
      <c r="J13" s="15">
        <f t="shared" si="19"/>
        <v>9</v>
      </c>
      <c r="K13" s="15">
        <f t="shared" si="19"/>
        <v>10</v>
      </c>
      <c r="L13" s="15">
        <f t="shared" si="19"/>
        <v>11</v>
      </c>
      <c r="M13" s="15">
        <f t="shared" si="19"/>
        <v>12</v>
      </c>
      <c r="N13" s="15">
        <f t="shared" si="19"/>
        <v>13</v>
      </c>
      <c r="O13" s="15">
        <f t="shared" si="19"/>
        <v>14</v>
      </c>
      <c r="P13" s="15">
        <f t="shared" si="19"/>
        <v>15</v>
      </c>
      <c r="Q13" s="15">
        <f t="shared" si="19"/>
        <v>16</v>
      </c>
      <c r="R13" s="15">
        <f t="shared" si="19"/>
        <v>17</v>
      </c>
      <c r="S13" s="15">
        <f t="shared" si="19"/>
        <v>18</v>
      </c>
      <c r="T13" s="15">
        <f t="shared" si="19"/>
        <v>19</v>
      </c>
      <c r="U13" s="16">
        <f t="shared" si="19"/>
        <v>20</v>
      </c>
    </row>
    <row r="14" spans="1:21" x14ac:dyDescent="0.25">
      <c r="A14" s="17" t="s">
        <v>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</row>
    <row r="15" spans="1:21" x14ac:dyDescent="0.25">
      <c r="A15" s="26" t="s">
        <v>10</v>
      </c>
      <c r="B15" s="37">
        <v>2017.568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8"/>
    </row>
    <row r="16" spans="1:21" x14ac:dyDescent="0.25">
      <c r="A16" s="29" t="s">
        <v>12</v>
      </c>
      <c r="B16" s="37">
        <v>31906.83490048</v>
      </c>
      <c r="C16" s="27"/>
      <c r="D16" s="27"/>
      <c r="E16" s="27"/>
      <c r="F16" s="27"/>
      <c r="G16" s="27"/>
      <c r="H16" s="27"/>
      <c r="I16" s="27"/>
      <c r="J16" s="27"/>
      <c r="K16" s="30"/>
      <c r="L16" s="27"/>
      <c r="M16" s="27"/>
      <c r="N16" s="27"/>
      <c r="O16" s="27"/>
      <c r="P16" s="27"/>
      <c r="Q16" s="27"/>
      <c r="R16" s="27"/>
      <c r="S16" s="27"/>
      <c r="T16" s="27"/>
      <c r="U16" s="28"/>
    </row>
    <row r="17" spans="1:21" x14ac:dyDescent="0.25">
      <c r="A17" s="26" t="s">
        <v>14</v>
      </c>
      <c r="B17" s="37">
        <v>12609.8</v>
      </c>
      <c r="C17" s="27"/>
      <c r="D17" s="27"/>
      <c r="E17" s="27"/>
      <c r="F17" s="27"/>
      <c r="G17" s="27"/>
      <c r="H17" s="27"/>
      <c r="I17" s="27"/>
      <c r="J17" s="27"/>
      <c r="K17" s="30"/>
      <c r="L17" s="27"/>
      <c r="M17" s="27"/>
      <c r="N17" s="27"/>
      <c r="O17" s="27"/>
      <c r="P17" s="27"/>
      <c r="Q17" s="27"/>
      <c r="R17" s="27"/>
      <c r="S17" s="27"/>
      <c r="T17" s="27"/>
      <c r="U17" s="28"/>
    </row>
    <row r="18" spans="1:21" x14ac:dyDescent="0.25">
      <c r="A18" s="26" t="s">
        <v>16</v>
      </c>
      <c r="B18" s="37">
        <v>7349.7119999999995</v>
      </c>
      <c r="C18" s="27"/>
      <c r="D18" s="27"/>
      <c r="E18" s="27"/>
      <c r="F18" s="27"/>
      <c r="G18" s="27"/>
      <c r="H18" s="27"/>
      <c r="I18" s="27"/>
      <c r="J18" s="27"/>
      <c r="K18" s="30"/>
      <c r="L18" s="27"/>
      <c r="M18" s="27"/>
      <c r="N18" s="27"/>
      <c r="O18" s="27"/>
      <c r="P18" s="27"/>
      <c r="Q18" s="27"/>
      <c r="R18" s="27"/>
      <c r="S18" s="27"/>
      <c r="T18" s="27"/>
      <c r="U18" s="28"/>
    </row>
    <row r="19" spans="1:21" x14ac:dyDescent="0.25">
      <c r="A19" s="26" t="s">
        <v>18</v>
      </c>
      <c r="B19" s="37">
        <v>9943.7279999999992</v>
      </c>
      <c r="C19" s="27"/>
      <c r="D19" s="27"/>
      <c r="E19" s="27"/>
      <c r="F19" s="27"/>
      <c r="G19" s="27"/>
      <c r="H19" s="27"/>
      <c r="I19" s="27"/>
      <c r="J19" s="27"/>
      <c r="K19" s="30"/>
      <c r="L19" s="27"/>
      <c r="M19" s="27"/>
      <c r="N19" s="27"/>
      <c r="O19" s="27"/>
      <c r="P19" s="27"/>
      <c r="Q19" s="27"/>
      <c r="R19" s="27"/>
      <c r="S19" s="27"/>
      <c r="T19" s="27"/>
      <c r="U19" s="28"/>
    </row>
    <row r="20" spans="1:21" x14ac:dyDescent="0.25">
      <c r="A20" s="26" t="s">
        <v>20</v>
      </c>
      <c r="B20" s="37">
        <v>11240.735999999999</v>
      </c>
      <c r="C20" s="27"/>
      <c r="D20" s="27"/>
      <c r="E20" s="27"/>
      <c r="F20" s="27"/>
      <c r="G20" s="27"/>
      <c r="H20" s="27"/>
      <c r="I20" s="27"/>
      <c r="J20" s="27"/>
      <c r="K20" s="30"/>
      <c r="L20" s="27"/>
      <c r="M20" s="27"/>
      <c r="N20" s="27"/>
      <c r="O20" s="27"/>
      <c r="P20" s="27"/>
      <c r="Q20" s="27"/>
      <c r="R20" s="27"/>
      <c r="S20" s="27"/>
      <c r="T20" s="27"/>
      <c r="U20" s="28"/>
    </row>
    <row r="21" spans="1:21" x14ac:dyDescent="0.25">
      <c r="A21" s="26" t="s">
        <v>22</v>
      </c>
      <c r="B21" s="37">
        <v>2161.6799999999998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</row>
    <row r="22" spans="1:21" x14ac:dyDescent="0.25">
      <c r="A22" s="26" t="s">
        <v>24</v>
      </c>
      <c r="B22" s="37">
        <v>274.53336000000002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8"/>
    </row>
    <row r="23" spans="1:21" x14ac:dyDescent="0.25">
      <c r="A23" s="26" t="s">
        <v>26</v>
      </c>
      <c r="B23" s="37">
        <v>422.24815999999998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</row>
    <row r="24" spans="1:21" x14ac:dyDescent="0.25">
      <c r="A24" s="26"/>
      <c r="B24" s="3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8"/>
    </row>
    <row r="25" spans="1:21" x14ac:dyDescent="0.25">
      <c r="A25" s="26" t="s">
        <v>28</v>
      </c>
      <c r="B25" s="37">
        <v>77926.840420480003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8"/>
    </row>
    <row r="26" spans="1:21" x14ac:dyDescent="0.25">
      <c r="A26" s="26" t="s">
        <v>29</v>
      </c>
      <c r="B26" s="37">
        <v>3896.3417328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</row>
    <row r="27" spans="1:21" x14ac:dyDescent="0.25">
      <c r="A27" s="26" t="s">
        <v>31</v>
      </c>
      <c r="B27" s="37">
        <v>7792.6834656000001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</row>
    <row r="28" spans="1:21" x14ac:dyDescent="0.25">
      <c r="A28" s="26" t="s">
        <v>33</v>
      </c>
      <c r="B28" s="37">
        <v>896158.84929887997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8"/>
    </row>
    <row r="29" spans="1:21" x14ac:dyDescent="0.25">
      <c r="A29" s="26" t="s">
        <v>66</v>
      </c>
      <c r="B29" s="37">
        <v>17027.01438112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</row>
    <row r="30" spans="1:21" x14ac:dyDescent="0.25">
      <c r="A30" s="26"/>
      <c r="B30" s="3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8"/>
    </row>
    <row r="31" spans="1:21" x14ac:dyDescent="0.25">
      <c r="A31" s="25" t="s">
        <v>48</v>
      </c>
      <c r="B31" s="37">
        <v>106642.87999999999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/>
    </row>
    <row r="32" spans="1:21" x14ac:dyDescent="0.25">
      <c r="A32" s="31" t="s">
        <v>49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8"/>
    </row>
    <row r="33" spans="1:21" x14ac:dyDescent="0.25">
      <c r="A33" s="32" t="s">
        <v>50</v>
      </c>
      <c r="B33" s="27"/>
      <c r="C33" s="27">
        <v>17</v>
      </c>
      <c r="D33" s="27">
        <v>17</v>
      </c>
      <c r="E33" s="27">
        <v>17</v>
      </c>
      <c r="F33" s="27">
        <v>17</v>
      </c>
      <c r="G33" s="27">
        <v>17</v>
      </c>
      <c r="H33" s="27">
        <v>17</v>
      </c>
      <c r="I33" s="27">
        <v>17</v>
      </c>
      <c r="J33" s="27">
        <v>17</v>
      </c>
      <c r="K33" s="27">
        <v>17</v>
      </c>
      <c r="L33" s="27">
        <v>17</v>
      </c>
      <c r="M33" s="27">
        <v>17</v>
      </c>
      <c r="N33" s="27">
        <v>17</v>
      </c>
      <c r="O33" s="27">
        <v>17</v>
      </c>
      <c r="P33" s="27">
        <v>17</v>
      </c>
      <c r="Q33" s="27">
        <v>17</v>
      </c>
      <c r="R33" s="27">
        <v>17</v>
      </c>
      <c r="S33" s="27">
        <v>17</v>
      </c>
      <c r="T33" s="27">
        <v>17</v>
      </c>
      <c r="U33" s="28">
        <v>17</v>
      </c>
    </row>
    <row r="34" spans="1:21" x14ac:dyDescent="0.25">
      <c r="A34" s="32" t="s">
        <v>52</v>
      </c>
      <c r="B34" s="27"/>
      <c r="C34" s="27">
        <v>51</v>
      </c>
      <c r="D34" s="27">
        <v>51</v>
      </c>
      <c r="E34" s="27">
        <v>51</v>
      </c>
      <c r="F34" s="27">
        <v>51</v>
      </c>
      <c r="G34" s="27">
        <v>51</v>
      </c>
      <c r="H34" s="27">
        <v>51</v>
      </c>
      <c r="I34" s="27">
        <v>51</v>
      </c>
      <c r="J34" s="27">
        <v>51</v>
      </c>
      <c r="K34" s="27">
        <v>51</v>
      </c>
      <c r="L34" s="27">
        <v>51</v>
      </c>
      <c r="M34" s="27">
        <v>51</v>
      </c>
      <c r="N34" s="27">
        <v>51</v>
      </c>
      <c r="O34" s="27">
        <v>51</v>
      </c>
      <c r="P34" s="27">
        <v>51</v>
      </c>
      <c r="Q34" s="27">
        <v>51</v>
      </c>
      <c r="R34" s="27">
        <v>51</v>
      </c>
      <c r="S34" s="27">
        <v>51</v>
      </c>
      <c r="T34" s="27">
        <v>51</v>
      </c>
      <c r="U34" s="28">
        <v>51</v>
      </c>
    </row>
    <row r="35" spans="1:21" x14ac:dyDescent="0.25">
      <c r="A35" s="32" t="s">
        <v>51</v>
      </c>
      <c r="B35" s="27"/>
      <c r="C35" s="27">
        <v>36</v>
      </c>
      <c r="D35" s="27">
        <v>36</v>
      </c>
      <c r="E35" s="27">
        <v>36</v>
      </c>
      <c r="F35" s="27">
        <v>36</v>
      </c>
      <c r="G35" s="27">
        <v>36</v>
      </c>
      <c r="H35" s="27">
        <v>36</v>
      </c>
      <c r="I35" s="27">
        <v>36</v>
      </c>
      <c r="J35" s="27">
        <v>36</v>
      </c>
      <c r="K35" s="27">
        <v>36</v>
      </c>
      <c r="L35" s="27">
        <v>36</v>
      </c>
      <c r="M35" s="27">
        <v>36</v>
      </c>
      <c r="N35" s="27">
        <v>36</v>
      </c>
      <c r="O35" s="27">
        <v>36</v>
      </c>
      <c r="P35" s="27">
        <v>36</v>
      </c>
      <c r="Q35" s="27">
        <v>36</v>
      </c>
      <c r="R35" s="27">
        <v>36</v>
      </c>
      <c r="S35" s="27">
        <v>36</v>
      </c>
      <c r="T35" s="27">
        <v>36</v>
      </c>
      <c r="U35" s="28">
        <v>36</v>
      </c>
    </row>
    <row r="36" spans="1:21" x14ac:dyDescent="0.25">
      <c r="A36" s="26" t="s">
        <v>53</v>
      </c>
      <c r="B36" s="27"/>
      <c r="C36" s="27"/>
      <c r="D36" s="27"/>
      <c r="E36" s="27"/>
      <c r="F36" s="27"/>
      <c r="G36" s="37">
        <v>128.25968</v>
      </c>
      <c r="H36" s="27"/>
      <c r="I36" s="27"/>
      <c r="J36" s="27"/>
      <c r="K36" s="47">
        <v>648.50400000000002</v>
      </c>
      <c r="L36" s="27"/>
      <c r="M36" s="37">
        <v>128.25968</v>
      </c>
      <c r="N36" s="27"/>
      <c r="O36" s="27"/>
      <c r="P36" s="27"/>
      <c r="Q36" s="27"/>
      <c r="R36" s="27"/>
      <c r="S36" s="37">
        <v>128.25968</v>
      </c>
      <c r="T36" s="27"/>
      <c r="U36" s="28"/>
    </row>
    <row r="37" spans="1:21" x14ac:dyDescent="0.25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2"/>
    </row>
    <row r="38" spans="1:21" x14ac:dyDescent="0.25">
      <c r="A38" s="17" t="s">
        <v>37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/>
    </row>
    <row r="39" spans="1:21" x14ac:dyDescent="0.25">
      <c r="A39" s="32" t="s">
        <v>38</v>
      </c>
      <c r="B39" s="37">
        <v>13114.301525119999</v>
      </c>
      <c r="C39" s="37">
        <v>12852.016244</v>
      </c>
      <c r="D39" s="37">
        <v>12762.05144576</v>
      </c>
      <c r="E39" s="37">
        <v>12672.717858079999</v>
      </c>
      <c r="F39" s="37">
        <v>12584.00827536</v>
      </c>
      <c r="G39" s="37">
        <v>12495.919815359999</v>
      </c>
      <c r="H39" s="37">
        <v>12408.448154719999</v>
      </c>
      <c r="I39" s="37">
        <v>12321.58897008</v>
      </c>
      <c r="J39" s="37">
        <v>12235.33793808</v>
      </c>
      <c r="K39" s="37">
        <v>12149.69073536</v>
      </c>
      <c r="L39" s="37">
        <v>12064.64303856</v>
      </c>
      <c r="M39" s="37">
        <v>11980.19052432</v>
      </c>
      <c r="N39" s="37">
        <v>11896.32886928</v>
      </c>
      <c r="O39" s="37">
        <v>11813.055191199999</v>
      </c>
      <c r="P39" s="37">
        <v>11730.3637256</v>
      </c>
      <c r="Q39" s="37">
        <v>11648.251590239999</v>
      </c>
      <c r="R39" s="37">
        <v>11566.71302064</v>
      </c>
      <c r="S39" s="37">
        <v>11485.746575679999</v>
      </c>
      <c r="T39" s="37">
        <v>11405.34649088</v>
      </c>
      <c r="U39" s="38">
        <v>11325.50844288</v>
      </c>
    </row>
    <row r="40" spans="1:21" x14ac:dyDescent="0.25">
      <c r="A40" s="32" t="s">
        <v>46</v>
      </c>
      <c r="B40" s="37">
        <v>628.32000000000005</v>
      </c>
      <c r="C40" s="37">
        <v>628.32000000000005</v>
      </c>
      <c r="D40" s="37">
        <v>628.32000000000005</v>
      </c>
      <c r="E40" s="37">
        <v>628.32000000000005</v>
      </c>
      <c r="F40" s="37">
        <v>628.32000000000005</v>
      </c>
      <c r="G40" s="37">
        <v>628.32000000000005</v>
      </c>
      <c r="H40" s="37">
        <v>628.32000000000005</v>
      </c>
      <c r="I40" s="37">
        <v>628.32000000000005</v>
      </c>
      <c r="J40" s="37">
        <v>628.32000000000005</v>
      </c>
      <c r="K40" s="37">
        <v>628.32000000000005</v>
      </c>
      <c r="L40" s="37">
        <v>628.32000000000005</v>
      </c>
      <c r="M40" s="37">
        <v>628.32000000000005</v>
      </c>
      <c r="N40" s="37">
        <v>628.32000000000005</v>
      </c>
      <c r="O40" s="37">
        <v>628.32000000000005</v>
      </c>
      <c r="P40" s="37">
        <v>628.32000000000005</v>
      </c>
      <c r="Q40" s="37">
        <v>628.32000000000005</v>
      </c>
      <c r="R40" s="37">
        <v>628.32000000000005</v>
      </c>
      <c r="S40" s="37">
        <v>628.32000000000005</v>
      </c>
      <c r="T40" s="37">
        <v>628.32000000000005</v>
      </c>
      <c r="U40" s="38">
        <v>628.32000000000005</v>
      </c>
    </row>
    <row r="41" spans="1:21" x14ac:dyDescent="0.2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2"/>
    </row>
    <row r="42" spans="1:21" x14ac:dyDescent="0.25">
      <c r="A42" s="34" t="s">
        <v>43</v>
      </c>
      <c r="B42" s="48">
        <v>1</v>
      </c>
      <c r="C42" s="48">
        <v>0.96618357487922713</v>
      </c>
      <c r="D42" s="48">
        <v>0.93351070036640305</v>
      </c>
      <c r="E42" s="48">
        <v>0.90194270566802237</v>
      </c>
      <c r="F42" s="48">
        <v>0.87144222769857238</v>
      </c>
      <c r="G42" s="48">
        <v>0.84197316685852419</v>
      </c>
      <c r="H42" s="48">
        <v>0.81350064430775282</v>
      </c>
      <c r="I42" s="48">
        <v>0.78599096068381913</v>
      </c>
      <c r="J42" s="48">
        <v>0.75941155621625056</v>
      </c>
      <c r="K42" s="48">
        <v>0.73373097218961414</v>
      </c>
      <c r="L42" s="48">
        <v>0.70891881370977217</v>
      </c>
      <c r="M42" s="48">
        <v>0.68494571372924851</v>
      </c>
      <c r="N42" s="48">
        <v>0.66178329828912896</v>
      </c>
      <c r="O42" s="48">
        <v>0.63940415293635666</v>
      </c>
      <c r="P42" s="48">
        <v>0.61778179027667302</v>
      </c>
      <c r="Q42" s="48">
        <v>0.59689061862480497</v>
      </c>
      <c r="R42" s="48">
        <v>0.57670591171478747</v>
      </c>
      <c r="S42" s="48">
        <v>0.55720377943457733</v>
      </c>
      <c r="T42" s="48">
        <v>0.53836113955031628</v>
      </c>
      <c r="U42" s="49">
        <v>0.52015569038677911</v>
      </c>
    </row>
    <row r="43" spans="1:21" x14ac:dyDescent="0.25">
      <c r="A43" s="35" t="s">
        <v>44</v>
      </c>
      <c r="B43" s="50">
        <f>((B39+B40)-(B31)*B42)</f>
        <v>-92900.258474879985</v>
      </c>
      <c r="C43" s="50">
        <f t="shared" ref="C43:U43" si="20">((C39+C40)-SUM(C33:C35)*C42)</f>
        <v>13379.853152212561</v>
      </c>
      <c r="D43" s="50">
        <f t="shared" si="20"/>
        <v>13293.286332921894</v>
      </c>
      <c r="E43" s="50">
        <f t="shared" si="20"/>
        <v>13207.235816690525</v>
      </c>
      <c r="F43" s="50">
        <f t="shared" si="20"/>
        <v>13121.698283679349</v>
      </c>
      <c r="G43" s="50">
        <f t="shared" si="20"/>
        <v>13036.674606006713</v>
      </c>
      <c r="H43" s="50">
        <f t="shared" si="20"/>
        <v>12952.164087711993</v>
      </c>
      <c r="I43" s="50">
        <f t="shared" si="20"/>
        <v>12868.165910168882</v>
      </c>
      <c r="J43" s="50">
        <f t="shared" si="20"/>
        <v>12784.67913623351</v>
      </c>
      <c r="K43" s="50">
        <f t="shared" si="20"/>
        <v>12701.70271425228</v>
      </c>
      <c r="L43" s="50">
        <f t="shared" si="20"/>
        <v>12619.235481934184</v>
      </c>
      <c r="M43" s="50">
        <f t="shared" si="20"/>
        <v>12537.276170092158</v>
      </c>
      <c r="N43" s="50">
        <f t="shared" si="20"/>
        <v>12455.82340625793</v>
      </c>
      <c r="O43" s="50">
        <f t="shared" si="20"/>
        <v>12374.877159294618</v>
      </c>
      <c r="P43" s="50">
        <f t="shared" si="20"/>
        <v>12294.434419411225</v>
      </c>
      <c r="Q43" s="50">
        <f t="shared" si="20"/>
        <v>12214.494965903019</v>
      </c>
      <c r="R43" s="50">
        <f t="shared" si="20"/>
        <v>12135.055605821661</v>
      </c>
      <c r="S43" s="50">
        <f t="shared" si="20"/>
        <v>12056.117382618802</v>
      </c>
      <c r="T43" s="50">
        <f t="shared" si="20"/>
        <v>11977.676932366767</v>
      </c>
      <c r="U43" s="51">
        <f t="shared" si="20"/>
        <v>11899.732251079775</v>
      </c>
    </row>
    <row r="45" spans="1:21" x14ac:dyDescent="0.25">
      <c r="A45" s="12" t="s">
        <v>45</v>
      </c>
      <c r="B45" s="42">
        <f>SUM(B43:U43)</f>
        <v>147009.92533977787</v>
      </c>
    </row>
    <row r="48" spans="1:21" x14ac:dyDescent="0.25">
      <c r="A48" s="12" t="s">
        <v>71</v>
      </c>
    </row>
    <row r="49" spans="1:21" x14ac:dyDescent="0.25">
      <c r="A49" s="14" t="s">
        <v>0</v>
      </c>
      <c r="B49" s="15">
        <v>1</v>
      </c>
      <c r="C49" s="15">
        <f>1+B49</f>
        <v>2</v>
      </c>
      <c r="D49" s="15">
        <f>+C49+1</f>
        <v>3</v>
      </c>
      <c r="E49" s="15">
        <f t="shared" ref="E49" si="21">+D49+1</f>
        <v>4</v>
      </c>
      <c r="F49" s="15">
        <f t="shared" ref="F49" si="22">+E49+1</f>
        <v>5</v>
      </c>
      <c r="G49" s="15">
        <f t="shared" ref="G49" si="23">+F49+1</f>
        <v>6</v>
      </c>
      <c r="H49" s="15">
        <f t="shared" ref="H49" si="24">+G49+1</f>
        <v>7</v>
      </c>
      <c r="I49" s="15">
        <f t="shared" ref="I49" si="25">+H49+1</f>
        <v>8</v>
      </c>
      <c r="J49" s="15">
        <f t="shared" ref="J49" si="26">+I49+1</f>
        <v>9</v>
      </c>
      <c r="K49" s="15">
        <f t="shared" ref="K49" si="27">+J49+1</f>
        <v>10</v>
      </c>
      <c r="L49" s="15">
        <f t="shared" ref="L49" si="28">+K49+1</f>
        <v>11</v>
      </c>
      <c r="M49" s="15">
        <f t="shared" ref="M49" si="29">+L49+1</f>
        <v>12</v>
      </c>
      <c r="N49" s="15">
        <f t="shared" ref="N49" si="30">+M49+1</f>
        <v>13</v>
      </c>
      <c r="O49" s="15">
        <f t="shared" ref="O49" si="31">+N49+1</f>
        <v>14</v>
      </c>
      <c r="P49" s="15">
        <f t="shared" ref="P49" si="32">+O49+1</f>
        <v>15</v>
      </c>
      <c r="Q49" s="15">
        <f t="shared" ref="Q49" si="33">+P49+1</f>
        <v>16</v>
      </c>
      <c r="R49" s="15">
        <f t="shared" ref="R49" si="34">+Q49+1</f>
        <v>17</v>
      </c>
      <c r="S49" s="15">
        <f t="shared" ref="S49" si="35">+R49+1</f>
        <v>18</v>
      </c>
      <c r="T49" s="15">
        <f t="shared" ref="T49" si="36">+S49+1</f>
        <v>19</v>
      </c>
      <c r="U49" s="16">
        <f t="shared" ref="U49" si="37">+T49+1</f>
        <v>20</v>
      </c>
    </row>
    <row r="50" spans="1:21" x14ac:dyDescent="0.25">
      <c r="A50" s="17" t="s">
        <v>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9"/>
    </row>
    <row r="51" spans="1:21" x14ac:dyDescent="0.25">
      <c r="A51" s="26" t="s">
        <v>11</v>
      </c>
      <c r="B51" s="37">
        <v>3864.4785695999999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8"/>
    </row>
    <row r="52" spans="1:21" x14ac:dyDescent="0.25">
      <c r="A52" s="29" t="s">
        <v>13</v>
      </c>
      <c r="B52" s="37">
        <v>32723.141472159998</v>
      </c>
      <c r="C52" s="27"/>
      <c r="D52" s="27"/>
      <c r="E52" s="27"/>
      <c r="F52" s="27"/>
      <c r="G52" s="27"/>
      <c r="H52" s="27"/>
      <c r="I52" s="27"/>
      <c r="J52" s="27"/>
      <c r="K52" s="30"/>
      <c r="L52" s="27"/>
      <c r="M52" s="27"/>
      <c r="N52" s="27"/>
      <c r="O52" s="27"/>
      <c r="P52" s="27"/>
      <c r="Q52" s="27"/>
      <c r="R52" s="27"/>
      <c r="S52" s="27"/>
      <c r="T52" s="27"/>
      <c r="U52" s="28"/>
    </row>
    <row r="53" spans="1:21" x14ac:dyDescent="0.25">
      <c r="A53" s="26" t="s">
        <v>15</v>
      </c>
      <c r="B53" s="37">
        <v>11113.443311519999</v>
      </c>
      <c r="C53" s="27"/>
      <c r="D53" s="27"/>
      <c r="E53" s="27"/>
      <c r="F53" s="27"/>
      <c r="G53" s="27"/>
      <c r="H53" s="27"/>
      <c r="I53" s="27"/>
      <c r="J53" s="27"/>
      <c r="K53" s="30"/>
      <c r="L53" s="27"/>
      <c r="M53" s="27"/>
      <c r="N53" s="27"/>
      <c r="O53" s="27"/>
      <c r="P53" s="27"/>
      <c r="Q53" s="27"/>
      <c r="R53" s="27"/>
      <c r="S53" s="27"/>
      <c r="T53" s="27"/>
      <c r="U53" s="28"/>
    </row>
    <row r="54" spans="1:21" x14ac:dyDescent="0.25">
      <c r="A54" s="26" t="s">
        <v>17</v>
      </c>
      <c r="B54" s="37">
        <v>1202.5036737599999</v>
      </c>
      <c r="C54" s="27"/>
      <c r="D54" s="27"/>
      <c r="E54" s="27"/>
      <c r="F54" s="27"/>
      <c r="G54" s="27"/>
      <c r="H54" s="27"/>
      <c r="I54" s="27"/>
      <c r="J54" s="27"/>
      <c r="K54" s="30"/>
      <c r="L54" s="27"/>
      <c r="M54" s="27"/>
      <c r="N54" s="27"/>
      <c r="O54" s="27"/>
      <c r="P54" s="27"/>
      <c r="Q54" s="27"/>
      <c r="R54" s="27"/>
      <c r="S54" s="27"/>
      <c r="T54" s="27"/>
      <c r="U54" s="28"/>
    </row>
    <row r="55" spans="1:21" x14ac:dyDescent="0.25">
      <c r="A55" s="26" t="s">
        <v>19</v>
      </c>
      <c r="B55" s="37">
        <v>1806.19604736</v>
      </c>
      <c r="C55" s="27"/>
      <c r="D55" s="27"/>
      <c r="E55" s="27"/>
      <c r="F55" s="27"/>
      <c r="G55" s="27"/>
      <c r="H55" s="27"/>
      <c r="I55" s="27"/>
      <c r="J55" s="27"/>
      <c r="K55" s="30"/>
      <c r="L55" s="27"/>
      <c r="M55" s="27"/>
      <c r="N55" s="27"/>
      <c r="O55" s="27"/>
      <c r="P55" s="27"/>
      <c r="Q55" s="27"/>
      <c r="R55" s="27"/>
      <c r="S55" s="27"/>
      <c r="T55" s="27"/>
      <c r="U55" s="28"/>
    </row>
    <row r="56" spans="1:21" x14ac:dyDescent="0.25">
      <c r="A56" s="26" t="s">
        <v>21</v>
      </c>
      <c r="B56" s="37">
        <v>4856.5873700800003</v>
      </c>
      <c r="C56" s="27"/>
      <c r="D56" s="27"/>
      <c r="E56" s="27"/>
      <c r="F56" s="27"/>
      <c r="G56" s="27"/>
      <c r="H56" s="27"/>
      <c r="I56" s="27"/>
      <c r="J56" s="27"/>
      <c r="K56" s="30"/>
      <c r="L56" s="27"/>
      <c r="M56" s="27"/>
      <c r="N56" s="27"/>
      <c r="O56" s="27"/>
      <c r="P56" s="27"/>
      <c r="Q56" s="27"/>
      <c r="R56" s="27"/>
      <c r="S56" s="27"/>
      <c r="T56" s="27"/>
      <c r="U56" s="28"/>
    </row>
    <row r="57" spans="1:21" x14ac:dyDescent="0.25">
      <c r="A57" s="26" t="s">
        <v>23</v>
      </c>
      <c r="B57" s="37">
        <v>1722.1384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8"/>
    </row>
    <row r="58" spans="1:21" x14ac:dyDescent="0.25">
      <c r="A58" s="26" t="s">
        <v>25</v>
      </c>
      <c r="B58" s="37">
        <v>695.91252464000002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8"/>
    </row>
    <row r="59" spans="1:21" x14ac:dyDescent="0.25">
      <c r="A59" s="26" t="s">
        <v>27</v>
      </c>
      <c r="B59" s="37">
        <v>554.83119999999997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8"/>
    </row>
    <row r="60" spans="1:21" x14ac:dyDescent="0.25">
      <c r="A60" s="26"/>
      <c r="B60" s="3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8"/>
    </row>
    <row r="61" spans="1:21" x14ac:dyDescent="0.25">
      <c r="A61" s="26" t="s">
        <v>28</v>
      </c>
      <c r="B61" s="37">
        <v>69362.045210240001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8"/>
    </row>
    <row r="62" spans="1:21" x14ac:dyDescent="0.25">
      <c r="A62" s="26" t="s">
        <v>30</v>
      </c>
      <c r="B62" s="37">
        <v>3468.1028369599999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8"/>
    </row>
    <row r="63" spans="1:21" x14ac:dyDescent="0.25">
      <c r="A63" s="26" t="s">
        <v>32</v>
      </c>
      <c r="B63" s="37">
        <v>3468.1028369599999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8"/>
    </row>
    <row r="64" spans="1:21" x14ac:dyDescent="0.25">
      <c r="A64" s="26" t="s">
        <v>34</v>
      </c>
      <c r="B64" s="37">
        <v>76298.249443039997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8"/>
    </row>
    <row r="65" spans="1:21" x14ac:dyDescent="0.25">
      <c r="A65" s="26" t="s">
        <v>67</v>
      </c>
      <c r="B65" s="37">
        <v>14496.66706272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8"/>
    </row>
    <row r="66" spans="1:21" x14ac:dyDescent="0.25">
      <c r="A66" s="26"/>
      <c r="B66" s="3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8"/>
    </row>
    <row r="67" spans="1:21" x14ac:dyDescent="0.25">
      <c r="A67" s="25" t="s">
        <v>48</v>
      </c>
      <c r="B67" s="37">
        <v>90794.916505759989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8"/>
    </row>
    <row r="68" spans="1:21" x14ac:dyDescent="0.25">
      <c r="A68" s="31" t="s">
        <v>49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8"/>
    </row>
    <row r="69" spans="1:21" x14ac:dyDescent="0.25">
      <c r="A69" s="32" t="s">
        <v>50</v>
      </c>
      <c r="B69" s="27"/>
      <c r="C69" s="27">
        <v>17</v>
      </c>
      <c r="D69" s="27">
        <v>17</v>
      </c>
      <c r="E69" s="27">
        <v>17</v>
      </c>
      <c r="F69" s="27">
        <v>17</v>
      </c>
      <c r="G69" s="27">
        <v>17</v>
      </c>
      <c r="H69" s="27">
        <v>17</v>
      </c>
      <c r="I69" s="27">
        <v>17</v>
      </c>
      <c r="J69" s="27">
        <v>17</v>
      </c>
      <c r="K69" s="27">
        <v>17</v>
      </c>
      <c r="L69" s="27">
        <v>17</v>
      </c>
      <c r="M69" s="27">
        <v>17</v>
      </c>
      <c r="N69" s="27">
        <v>17</v>
      </c>
      <c r="O69" s="27">
        <v>17</v>
      </c>
      <c r="P69" s="27">
        <v>17</v>
      </c>
      <c r="Q69" s="27">
        <v>17</v>
      </c>
      <c r="R69" s="27">
        <v>17</v>
      </c>
      <c r="S69" s="27">
        <v>17</v>
      </c>
      <c r="T69" s="27">
        <v>17</v>
      </c>
      <c r="U69" s="28">
        <v>17</v>
      </c>
    </row>
    <row r="70" spans="1:21" x14ac:dyDescent="0.25">
      <c r="A70" s="32" t="s">
        <v>52</v>
      </c>
      <c r="B70" s="27"/>
      <c r="C70" s="27">
        <v>51</v>
      </c>
      <c r="D70" s="27">
        <v>51</v>
      </c>
      <c r="E70" s="27">
        <v>51</v>
      </c>
      <c r="F70" s="27">
        <v>51</v>
      </c>
      <c r="G70" s="27">
        <v>51</v>
      </c>
      <c r="H70" s="27">
        <v>51</v>
      </c>
      <c r="I70" s="27">
        <v>51</v>
      </c>
      <c r="J70" s="27">
        <v>51</v>
      </c>
      <c r="K70" s="27">
        <v>51</v>
      </c>
      <c r="L70" s="27">
        <v>51</v>
      </c>
      <c r="M70" s="27">
        <v>51</v>
      </c>
      <c r="N70" s="27">
        <v>51</v>
      </c>
      <c r="O70" s="27">
        <v>51</v>
      </c>
      <c r="P70" s="27">
        <v>51</v>
      </c>
      <c r="Q70" s="27">
        <v>51</v>
      </c>
      <c r="R70" s="27">
        <v>51</v>
      </c>
      <c r="S70" s="27">
        <v>51</v>
      </c>
      <c r="T70" s="27">
        <v>51</v>
      </c>
      <c r="U70" s="28">
        <v>51</v>
      </c>
    </row>
    <row r="71" spans="1:21" x14ac:dyDescent="0.25">
      <c r="A71" s="32" t="s">
        <v>51</v>
      </c>
      <c r="B71" s="27"/>
      <c r="C71" s="27">
        <v>36</v>
      </c>
      <c r="D71" s="27">
        <v>36</v>
      </c>
      <c r="E71" s="27">
        <v>36</v>
      </c>
      <c r="F71" s="27">
        <v>36</v>
      </c>
      <c r="G71" s="27">
        <v>36</v>
      </c>
      <c r="H71" s="27">
        <v>36</v>
      </c>
      <c r="I71" s="27">
        <v>36</v>
      </c>
      <c r="J71" s="27">
        <v>36</v>
      </c>
      <c r="K71" s="27">
        <v>36</v>
      </c>
      <c r="L71" s="27">
        <v>36</v>
      </c>
      <c r="M71" s="27">
        <v>36</v>
      </c>
      <c r="N71" s="27">
        <v>36</v>
      </c>
      <c r="O71" s="27">
        <v>36</v>
      </c>
      <c r="P71" s="27">
        <v>36</v>
      </c>
      <c r="Q71" s="27">
        <v>36</v>
      </c>
      <c r="R71" s="27">
        <v>36</v>
      </c>
      <c r="S71" s="27">
        <v>36</v>
      </c>
      <c r="T71" s="27">
        <v>36</v>
      </c>
      <c r="U71" s="28">
        <v>36</v>
      </c>
    </row>
    <row r="72" spans="1:21" x14ac:dyDescent="0.25">
      <c r="A72" s="26" t="s">
        <v>53</v>
      </c>
      <c r="B72" s="27"/>
      <c r="C72" s="27"/>
      <c r="D72" s="27"/>
      <c r="E72" s="27"/>
      <c r="F72" s="27"/>
      <c r="G72" s="27">
        <v>128.25968</v>
      </c>
      <c r="H72" s="27"/>
      <c r="I72" s="27"/>
      <c r="J72" s="27"/>
      <c r="K72" s="33">
        <v>648.50400000000002</v>
      </c>
      <c r="L72" s="27"/>
      <c r="M72" s="27">
        <v>128.25968</v>
      </c>
      <c r="N72" s="27"/>
      <c r="O72" s="27"/>
      <c r="P72" s="27"/>
      <c r="Q72" s="27"/>
      <c r="R72" s="27"/>
      <c r="S72" s="27">
        <v>128.25968</v>
      </c>
      <c r="T72" s="27"/>
      <c r="U72" s="28"/>
    </row>
    <row r="73" spans="1:21" x14ac:dyDescent="0.25">
      <c r="A73" s="26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8"/>
    </row>
    <row r="74" spans="1:21" x14ac:dyDescent="0.2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2"/>
    </row>
    <row r="75" spans="1:21" x14ac:dyDescent="0.25">
      <c r="A75" s="17" t="s">
        <v>37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9"/>
    </row>
    <row r="76" spans="1:21" x14ac:dyDescent="0.25">
      <c r="A76" s="32" t="s">
        <v>38</v>
      </c>
      <c r="B76" s="37">
        <v>13114.301525119999</v>
      </c>
      <c r="C76" s="37">
        <v>12852.016244</v>
      </c>
      <c r="D76" s="37">
        <v>12762.05144576</v>
      </c>
      <c r="E76" s="37">
        <v>12672.717858079999</v>
      </c>
      <c r="F76" s="37">
        <v>12584.00827536</v>
      </c>
      <c r="G76" s="37">
        <v>12495.919815359999</v>
      </c>
      <c r="H76" s="37">
        <v>12408.448154719999</v>
      </c>
      <c r="I76" s="37">
        <v>12321.58897008</v>
      </c>
      <c r="J76" s="37">
        <v>12235.33793808</v>
      </c>
      <c r="K76" s="37">
        <v>12149.69073536</v>
      </c>
      <c r="L76" s="37">
        <v>12064.64303856</v>
      </c>
      <c r="M76" s="37">
        <v>11980.19052432</v>
      </c>
      <c r="N76" s="37">
        <v>11896.32886928</v>
      </c>
      <c r="O76" s="37">
        <v>11813.055191199999</v>
      </c>
      <c r="P76" s="37">
        <v>11730.3637256</v>
      </c>
      <c r="Q76" s="37">
        <v>11648.251590239999</v>
      </c>
      <c r="R76" s="37">
        <v>11566.71302064</v>
      </c>
      <c r="S76" s="37">
        <v>11485.746575679999</v>
      </c>
      <c r="T76" s="37">
        <v>11405.34649088</v>
      </c>
      <c r="U76" s="38">
        <v>11325.50844288</v>
      </c>
    </row>
    <row r="77" spans="1:21" x14ac:dyDescent="0.25">
      <c r="A77" s="32" t="s">
        <v>46</v>
      </c>
      <c r="B77" s="27">
        <v>628.32000000000005</v>
      </c>
      <c r="C77" s="27">
        <v>628.32000000000005</v>
      </c>
      <c r="D77" s="27">
        <v>628.32000000000005</v>
      </c>
      <c r="E77" s="27">
        <v>628.32000000000005</v>
      </c>
      <c r="F77" s="27">
        <v>628.32000000000005</v>
      </c>
      <c r="G77" s="27">
        <v>628.32000000000005</v>
      </c>
      <c r="H77" s="27">
        <v>628.32000000000005</v>
      </c>
      <c r="I77" s="27">
        <v>628.32000000000005</v>
      </c>
      <c r="J77" s="27">
        <v>628.32000000000005</v>
      </c>
      <c r="K77" s="27">
        <v>628.32000000000005</v>
      </c>
      <c r="L77" s="27">
        <v>628.32000000000005</v>
      </c>
      <c r="M77" s="27">
        <v>628.32000000000005</v>
      </c>
      <c r="N77" s="27">
        <v>628.32000000000005</v>
      </c>
      <c r="O77" s="27">
        <v>628.32000000000005</v>
      </c>
      <c r="P77" s="27">
        <v>628.32000000000005</v>
      </c>
      <c r="Q77" s="27">
        <v>628.32000000000005</v>
      </c>
      <c r="R77" s="27">
        <v>628.32000000000005</v>
      </c>
      <c r="S77" s="27">
        <v>628.32000000000005</v>
      </c>
      <c r="T77" s="27">
        <v>628.32000000000005</v>
      </c>
      <c r="U77" s="28">
        <v>628.32000000000005</v>
      </c>
    </row>
    <row r="78" spans="1:21" x14ac:dyDescent="0.25">
      <c r="A78" s="20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</row>
    <row r="79" spans="1:21" x14ac:dyDescent="0.25">
      <c r="A79" s="34" t="s">
        <v>43</v>
      </c>
      <c r="B79" s="23">
        <v>1</v>
      </c>
      <c r="C79" s="23">
        <v>0.96618357487922713</v>
      </c>
      <c r="D79" s="23">
        <v>0.93351070036640305</v>
      </c>
      <c r="E79" s="23">
        <v>0.90194270566802237</v>
      </c>
      <c r="F79" s="23">
        <v>0.87144222769857238</v>
      </c>
      <c r="G79" s="23">
        <v>0.84197316685852419</v>
      </c>
      <c r="H79" s="23">
        <v>0.81350064430775282</v>
      </c>
      <c r="I79" s="23">
        <v>0.78599096068381913</v>
      </c>
      <c r="J79" s="23">
        <v>0.75941155621625056</v>
      </c>
      <c r="K79" s="23">
        <v>0.73373097218961414</v>
      </c>
      <c r="L79" s="23">
        <v>0.70891881370977217</v>
      </c>
      <c r="M79" s="23">
        <v>0.68494571372924851</v>
      </c>
      <c r="N79" s="23">
        <v>0.66178329828912896</v>
      </c>
      <c r="O79" s="23">
        <v>0.63940415293635666</v>
      </c>
      <c r="P79" s="23">
        <v>0.61778179027667302</v>
      </c>
      <c r="Q79" s="23">
        <v>0.59689061862480497</v>
      </c>
      <c r="R79" s="23">
        <v>0.57670591171478747</v>
      </c>
      <c r="S79" s="23">
        <v>0.55720377943457733</v>
      </c>
      <c r="T79" s="23">
        <v>0.53836113955031628</v>
      </c>
      <c r="U79" s="24">
        <v>0.52015569038677911</v>
      </c>
    </row>
    <row r="80" spans="1:21" x14ac:dyDescent="0.25">
      <c r="A80" s="35" t="s">
        <v>44</v>
      </c>
      <c r="B80" s="23">
        <f>((B76=B77)-(B67))*B79</f>
        <v>-90794.916505759989</v>
      </c>
      <c r="C80" s="23">
        <f t="shared" ref="C80:U80" si="38">(C76+C77)-SUM(C51:C67)*C79</f>
        <v>13480.336244</v>
      </c>
      <c r="D80" s="23">
        <f t="shared" si="38"/>
        <v>13390.37144576</v>
      </c>
      <c r="E80" s="23">
        <f t="shared" si="38"/>
        <v>13301.037858079999</v>
      </c>
      <c r="F80" s="23">
        <f t="shared" si="38"/>
        <v>13212.32827536</v>
      </c>
      <c r="G80" s="23">
        <f t="shared" si="38"/>
        <v>13124.239815359999</v>
      </c>
      <c r="H80" s="23">
        <f t="shared" si="38"/>
        <v>13036.768154719999</v>
      </c>
      <c r="I80" s="23">
        <f t="shared" si="38"/>
        <v>12949.90897008</v>
      </c>
      <c r="J80" s="23">
        <f t="shared" si="38"/>
        <v>12863.657938079999</v>
      </c>
      <c r="K80" s="23">
        <f t="shared" si="38"/>
        <v>12778.01073536</v>
      </c>
      <c r="L80" s="23">
        <f t="shared" si="38"/>
        <v>12692.963038559999</v>
      </c>
      <c r="M80" s="23">
        <f t="shared" si="38"/>
        <v>12608.51052432</v>
      </c>
      <c r="N80" s="23">
        <f t="shared" si="38"/>
        <v>12524.648869279999</v>
      </c>
      <c r="O80" s="23">
        <f t="shared" si="38"/>
        <v>12441.375191199999</v>
      </c>
      <c r="P80" s="23">
        <f t="shared" si="38"/>
        <v>12358.6837256</v>
      </c>
      <c r="Q80" s="23">
        <f t="shared" si="38"/>
        <v>12276.571590239999</v>
      </c>
      <c r="R80" s="23">
        <f t="shared" si="38"/>
        <v>12195.033020639999</v>
      </c>
      <c r="S80" s="23">
        <f t="shared" si="38"/>
        <v>12114.066575679999</v>
      </c>
      <c r="T80" s="23">
        <f t="shared" si="38"/>
        <v>12033.666490879999</v>
      </c>
      <c r="U80" s="24">
        <f t="shared" si="38"/>
        <v>11953.82844288</v>
      </c>
    </row>
    <row r="82" spans="1:21" x14ac:dyDescent="0.25">
      <c r="A82" s="12" t="s">
        <v>45</v>
      </c>
      <c r="B82" s="12">
        <f>SUM(B80:U80)</f>
        <v>150541.09040032001</v>
      </c>
    </row>
    <row r="84" spans="1:21" x14ac:dyDescent="0.25">
      <c r="A84" s="12" t="s">
        <v>60</v>
      </c>
    </row>
    <row r="85" spans="1:21" x14ac:dyDescent="0.25">
      <c r="A85" s="36" t="s">
        <v>61</v>
      </c>
    </row>
    <row r="86" spans="1:21" x14ac:dyDescent="0.25">
      <c r="A86" s="12" t="s">
        <v>57</v>
      </c>
    </row>
    <row r="87" spans="1:21" x14ac:dyDescent="0.25">
      <c r="A87" s="14" t="s">
        <v>0</v>
      </c>
      <c r="B87" s="15">
        <v>1</v>
      </c>
      <c r="C87" s="15">
        <f>1+B87</f>
        <v>2</v>
      </c>
      <c r="D87" s="15">
        <f>+C87+1</f>
        <v>3</v>
      </c>
      <c r="E87" s="15">
        <f t="shared" ref="E87" si="39">+D87+1</f>
        <v>4</v>
      </c>
      <c r="F87" s="15">
        <f t="shared" ref="F87" si="40">+E87+1</f>
        <v>5</v>
      </c>
      <c r="G87" s="15">
        <f t="shared" ref="G87" si="41">+F87+1</f>
        <v>6</v>
      </c>
      <c r="H87" s="15">
        <f t="shared" ref="H87" si="42">+G87+1</f>
        <v>7</v>
      </c>
      <c r="I87" s="15">
        <f t="shared" ref="I87" si="43">+H87+1</f>
        <v>8</v>
      </c>
      <c r="J87" s="15">
        <f t="shared" ref="J87" si="44">+I87+1</f>
        <v>9</v>
      </c>
      <c r="K87" s="15">
        <f t="shared" ref="K87" si="45">+J87+1</f>
        <v>10</v>
      </c>
      <c r="L87" s="15">
        <f t="shared" ref="L87" si="46">+K87+1</f>
        <v>11</v>
      </c>
      <c r="M87" s="15">
        <f t="shared" ref="M87" si="47">+L87+1</f>
        <v>12</v>
      </c>
      <c r="N87" s="15">
        <f t="shared" ref="N87" si="48">+M87+1</f>
        <v>13</v>
      </c>
      <c r="O87" s="15">
        <f t="shared" ref="O87" si="49">+N87+1</f>
        <v>14</v>
      </c>
      <c r="P87" s="15">
        <f t="shared" ref="P87" si="50">+O87+1</f>
        <v>15</v>
      </c>
      <c r="Q87" s="15">
        <f t="shared" ref="Q87" si="51">+P87+1</f>
        <v>16</v>
      </c>
      <c r="R87" s="15">
        <f t="shared" ref="R87" si="52">+Q87+1</f>
        <v>17</v>
      </c>
      <c r="S87" s="15">
        <f t="shared" ref="S87" si="53">+R87+1</f>
        <v>18</v>
      </c>
      <c r="T87" s="15">
        <f t="shared" ref="T87" si="54">+S87+1</f>
        <v>19</v>
      </c>
      <c r="U87" s="16">
        <f t="shared" ref="U87" si="55">+T87+1</f>
        <v>20</v>
      </c>
    </row>
    <row r="88" spans="1:21" x14ac:dyDescent="0.25">
      <c r="A88" s="17" t="s">
        <v>1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9"/>
    </row>
    <row r="89" spans="1:21" x14ac:dyDescent="0.25">
      <c r="A89" s="26" t="s">
        <v>11</v>
      </c>
      <c r="B89" s="27">
        <v>3864.4785695999999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8"/>
    </row>
    <row r="90" spans="1:21" x14ac:dyDescent="0.25">
      <c r="A90" s="29" t="s">
        <v>13</v>
      </c>
      <c r="B90" s="27">
        <v>32723.141472159998</v>
      </c>
      <c r="C90" s="27"/>
      <c r="D90" s="27"/>
      <c r="E90" s="27"/>
      <c r="F90" s="27"/>
      <c r="G90" s="27"/>
      <c r="H90" s="27"/>
      <c r="I90" s="27"/>
      <c r="J90" s="27"/>
      <c r="K90" s="30"/>
      <c r="L90" s="27"/>
      <c r="M90" s="27"/>
      <c r="N90" s="27"/>
      <c r="O90" s="27"/>
      <c r="P90" s="27"/>
      <c r="Q90" s="27"/>
      <c r="R90" s="27"/>
      <c r="S90" s="27"/>
      <c r="T90" s="27"/>
      <c r="U90" s="28"/>
    </row>
    <row r="91" spans="1:21" x14ac:dyDescent="0.25">
      <c r="A91" s="26" t="s">
        <v>15</v>
      </c>
      <c r="B91" s="27">
        <v>11113.443311519999</v>
      </c>
      <c r="C91" s="27"/>
      <c r="D91" s="27"/>
      <c r="E91" s="27"/>
      <c r="F91" s="27"/>
      <c r="G91" s="27"/>
      <c r="H91" s="27"/>
      <c r="I91" s="27"/>
      <c r="J91" s="27"/>
      <c r="K91" s="30"/>
      <c r="L91" s="27"/>
      <c r="M91" s="27"/>
      <c r="N91" s="27"/>
      <c r="O91" s="27"/>
      <c r="P91" s="27"/>
      <c r="Q91" s="27"/>
      <c r="R91" s="27"/>
      <c r="S91" s="27"/>
      <c r="T91" s="27"/>
      <c r="U91" s="28"/>
    </row>
    <row r="92" spans="1:21" x14ac:dyDescent="0.25">
      <c r="A92" s="26" t="s">
        <v>17</v>
      </c>
      <c r="B92" s="27">
        <v>1202.5036737599999</v>
      </c>
      <c r="C92" s="27"/>
      <c r="D92" s="27"/>
      <c r="E92" s="27"/>
      <c r="F92" s="27"/>
      <c r="G92" s="27"/>
      <c r="H92" s="27"/>
      <c r="I92" s="27"/>
      <c r="J92" s="27"/>
      <c r="K92" s="30"/>
      <c r="L92" s="27"/>
      <c r="M92" s="27"/>
      <c r="N92" s="27"/>
      <c r="O92" s="27"/>
      <c r="P92" s="27"/>
      <c r="Q92" s="27"/>
      <c r="R92" s="27"/>
      <c r="S92" s="27"/>
      <c r="T92" s="27"/>
      <c r="U92" s="28"/>
    </row>
    <row r="93" spans="1:21" x14ac:dyDescent="0.25">
      <c r="A93" s="26" t="s">
        <v>19</v>
      </c>
      <c r="B93" s="27">
        <v>1806.19604736</v>
      </c>
      <c r="C93" s="27"/>
      <c r="D93" s="27"/>
      <c r="E93" s="27"/>
      <c r="F93" s="27"/>
      <c r="G93" s="27"/>
      <c r="H93" s="27"/>
      <c r="I93" s="27"/>
      <c r="J93" s="27"/>
      <c r="K93" s="30"/>
      <c r="L93" s="27"/>
      <c r="M93" s="27"/>
      <c r="N93" s="27"/>
      <c r="O93" s="27"/>
      <c r="P93" s="27"/>
      <c r="Q93" s="27"/>
      <c r="R93" s="27"/>
      <c r="S93" s="27"/>
      <c r="T93" s="27"/>
      <c r="U93" s="28"/>
    </row>
    <row r="94" spans="1:21" x14ac:dyDescent="0.25">
      <c r="A94" s="26" t="s">
        <v>21</v>
      </c>
      <c r="B94" s="27">
        <v>4856.5873700800003</v>
      </c>
      <c r="C94" s="27"/>
      <c r="D94" s="27"/>
      <c r="E94" s="27"/>
      <c r="F94" s="27"/>
      <c r="G94" s="27"/>
      <c r="H94" s="27"/>
      <c r="I94" s="27"/>
      <c r="J94" s="27"/>
      <c r="K94" s="30"/>
      <c r="L94" s="27"/>
      <c r="M94" s="27"/>
      <c r="N94" s="27"/>
      <c r="O94" s="27"/>
      <c r="P94" s="27"/>
      <c r="Q94" s="27"/>
      <c r="R94" s="27"/>
      <c r="S94" s="27"/>
      <c r="T94" s="27"/>
      <c r="U94" s="28"/>
    </row>
    <row r="95" spans="1:21" x14ac:dyDescent="0.25">
      <c r="A95" s="26" t="s">
        <v>23</v>
      </c>
      <c r="B95" s="27">
        <v>1722.1384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8"/>
    </row>
    <row r="96" spans="1:21" x14ac:dyDescent="0.25">
      <c r="A96" s="26" t="s">
        <v>25</v>
      </c>
      <c r="B96" s="27">
        <v>695.91252464000002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8"/>
    </row>
    <row r="97" spans="1:21" x14ac:dyDescent="0.25">
      <c r="A97" s="26" t="s">
        <v>27</v>
      </c>
      <c r="B97" s="27">
        <v>554.83119999999997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8"/>
    </row>
    <row r="98" spans="1:21" x14ac:dyDescent="0.25">
      <c r="A98" s="26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8"/>
    </row>
    <row r="99" spans="1:21" x14ac:dyDescent="0.25">
      <c r="A99" s="26" t="s">
        <v>28</v>
      </c>
      <c r="B99" s="27">
        <v>69362.045210240001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8"/>
    </row>
    <row r="100" spans="1:21" x14ac:dyDescent="0.25">
      <c r="A100" s="26" t="s">
        <v>30</v>
      </c>
      <c r="B100" s="27">
        <v>3468.1028369599999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8"/>
    </row>
    <row r="101" spans="1:21" x14ac:dyDescent="0.25">
      <c r="A101" s="26" t="s">
        <v>32</v>
      </c>
      <c r="B101" s="27">
        <v>3468.1028369599999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8"/>
    </row>
    <row r="102" spans="1:21" x14ac:dyDescent="0.25">
      <c r="A102" s="26" t="s">
        <v>34</v>
      </c>
      <c r="B102" s="27">
        <v>76298.249443039997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8"/>
    </row>
    <row r="103" spans="1:21" x14ac:dyDescent="0.25">
      <c r="A103" s="26" t="s">
        <v>67</v>
      </c>
      <c r="B103" s="27">
        <v>14496.66706272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8"/>
    </row>
    <row r="104" spans="1:21" x14ac:dyDescent="0.25">
      <c r="A104" s="2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8"/>
    </row>
    <row r="105" spans="1:21" x14ac:dyDescent="0.25">
      <c r="A105" s="25" t="s">
        <v>48</v>
      </c>
      <c r="B105" s="27">
        <v>90794.916505759989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8"/>
    </row>
    <row r="106" spans="1:21" x14ac:dyDescent="0.25">
      <c r="A106" s="31" t="s">
        <v>49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8"/>
    </row>
    <row r="107" spans="1:21" x14ac:dyDescent="0.25">
      <c r="A107" s="32" t="s">
        <v>50</v>
      </c>
      <c r="B107" s="27"/>
      <c r="C107" s="27">
        <v>17</v>
      </c>
      <c r="D107" s="27">
        <v>17</v>
      </c>
      <c r="E107" s="27">
        <v>17</v>
      </c>
      <c r="F107" s="27">
        <v>17</v>
      </c>
      <c r="G107" s="27">
        <v>17</v>
      </c>
      <c r="H107" s="27">
        <v>17</v>
      </c>
      <c r="I107" s="27">
        <v>17</v>
      </c>
      <c r="J107" s="27">
        <v>17</v>
      </c>
      <c r="K107" s="27">
        <v>17</v>
      </c>
      <c r="L107" s="27">
        <v>17</v>
      </c>
      <c r="M107" s="27">
        <v>17</v>
      </c>
      <c r="N107" s="27">
        <v>17</v>
      </c>
      <c r="O107" s="27">
        <v>17</v>
      </c>
      <c r="P107" s="27">
        <v>17</v>
      </c>
      <c r="Q107" s="27">
        <v>17</v>
      </c>
      <c r="R107" s="27">
        <v>17</v>
      </c>
      <c r="S107" s="27">
        <v>17</v>
      </c>
      <c r="T107" s="27">
        <v>17</v>
      </c>
      <c r="U107" s="28">
        <v>17</v>
      </c>
    </row>
    <row r="108" spans="1:21" x14ac:dyDescent="0.25">
      <c r="A108" s="32" t="s">
        <v>52</v>
      </c>
      <c r="B108" s="27"/>
      <c r="C108" s="27">
        <v>51</v>
      </c>
      <c r="D108" s="27">
        <v>51</v>
      </c>
      <c r="E108" s="27">
        <v>51</v>
      </c>
      <c r="F108" s="27">
        <v>51</v>
      </c>
      <c r="G108" s="27">
        <v>51</v>
      </c>
      <c r="H108" s="27">
        <v>51</v>
      </c>
      <c r="I108" s="27">
        <v>51</v>
      </c>
      <c r="J108" s="27">
        <v>51</v>
      </c>
      <c r="K108" s="27">
        <v>51</v>
      </c>
      <c r="L108" s="27">
        <v>51</v>
      </c>
      <c r="M108" s="27">
        <v>51</v>
      </c>
      <c r="N108" s="27">
        <v>51</v>
      </c>
      <c r="O108" s="27">
        <v>51</v>
      </c>
      <c r="P108" s="27">
        <v>51</v>
      </c>
      <c r="Q108" s="27">
        <v>51</v>
      </c>
      <c r="R108" s="27">
        <v>51</v>
      </c>
      <c r="S108" s="27">
        <v>51</v>
      </c>
      <c r="T108" s="27">
        <v>51</v>
      </c>
      <c r="U108" s="28">
        <v>51</v>
      </c>
    </row>
    <row r="109" spans="1:21" x14ac:dyDescent="0.25">
      <c r="A109" s="32" t="s">
        <v>51</v>
      </c>
      <c r="B109" s="27"/>
      <c r="C109" s="27">
        <v>36</v>
      </c>
      <c r="D109" s="27">
        <v>36</v>
      </c>
      <c r="E109" s="27">
        <v>36</v>
      </c>
      <c r="F109" s="27">
        <v>36</v>
      </c>
      <c r="G109" s="27">
        <v>36</v>
      </c>
      <c r="H109" s="27">
        <v>36</v>
      </c>
      <c r="I109" s="27">
        <v>36</v>
      </c>
      <c r="J109" s="27">
        <v>36</v>
      </c>
      <c r="K109" s="27">
        <v>36</v>
      </c>
      <c r="L109" s="27">
        <v>36</v>
      </c>
      <c r="M109" s="27">
        <v>36</v>
      </c>
      <c r="N109" s="27">
        <v>36</v>
      </c>
      <c r="O109" s="27">
        <v>36</v>
      </c>
      <c r="P109" s="27">
        <v>36</v>
      </c>
      <c r="Q109" s="27">
        <v>36</v>
      </c>
      <c r="R109" s="27">
        <v>36</v>
      </c>
      <c r="S109" s="27">
        <v>36</v>
      </c>
      <c r="T109" s="27">
        <v>36</v>
      </c>
      <c r="U109" s="28">
        <v>36</v>
      </c>
    </row>
    <row r="110" spans="1:21" x14ac:dyDescent="0.25">
      <c r="A110" s="26" t="s">
        <v>53</v>
      </c>
      <c r="B110" s="27"/>
      <c r="C110" s="27"/>
      <c r="D110" s="27"/>
      <c r="E110" s="27"/>
      <c r="F110" s="27"/>
      <c r="G110" s="27">
        <v>128.25968</v>
      </c>
      <c r="H110" s="27"/>
      <c r="I110" s="27"/>
      <c r="J110" s="27"/>
      <c r="K110" s="33">
        <v>648.50400000000002</v>
      </c>
      <c r="L110" s="27"/>
      <c r="M110" s="27">
        <v>128.25968</v>
      </c>
      <c r="N110" s="27"/>
      <c r="O110" s="27"/>
      <c r="P110" s="27"/>
      <c r="Q110" s="27"/>
      <c r="R110" s="27"/>
      <c r="S110" s="27">
        <v>128.25968</v>
      </c>
      <c r="T110" s="27"/>
      <c r="U110" s="28"/>
    </row>
    <row r="111" spans="1:21" x14ac:dyDescent="0.25">
      <c r="A111" s="26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8"/>
    </row>
    <row r="112" spans="1:21" x14ac:dyDescent="0.25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2"/>
    </row>
    <row r="113" spans="1:21" x14ac:dyDescent="0.25">
      <c r="A113" s="17" t="s">
        <v>37</v>
      </c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3"/>
    </row>
    <row r="114" spans="1:21" x14ac:dyDescent="0.25">
      <c r="A114" s="32" t="s">
        <v>38</v>
      </c>
      <c r="B114" s="54">
        <v>16261.721830144001</v>
      </c>
      <c r="C114" s="54">
        <v>15684.704773919999</v>
      </c>
      <c r="D114" s="54">
        <v>15666.711814271999</v>
      </c>
      <c r="E114" s="54">
        <v>15648.845096736</v>
      </c>
      <c r="F114" s="54">
        <v>15631.103180192</v>
      </c>
      <c r="G114" s="54">
        <v>15613.485488192</v>
      </c>
      <c r="H114" s="54">
        <v>15595.991156063999</v>
      </c>
      <c r="I114" s="54">
        <v>15578.619319136</v>
      </c>
      <c r="J114" s="54">
        <v>15561.369112736</v>
      </c>
      <c r="K114" s="54">
        <v>15544.239672191999</v>
      </c>
      <c r="L114" s="54">
        <v>15527.230132831999</v>
      </c>
      <c r="M114" s="54">
        <v>15510.339629983999</v>
      </c>
      <c r="N114" s="54">
        <v>15493.567298975999</v>
      </c>
      <c r="O114" s="54">
        <v>15476.91256336</v>
      </c>
      <c r="P114" s="54">
        <v>15460.37427024</v>
      </c>
      <c r="Q114" s="54">
        <v>15443.951843167999</v>
      </c>
      <c r="R114" s="54">
        <v>15427.644129247999</v>
      </c>
      <c r="S114" s="54">
        <v>15411.450840255999</v>
      </c>
      <c r="T114" s="54">
        <v>15395.370823296</v>
      </c>
      <c r="U114" s="55">
        <v>15379.403213696</v>
      </c>
    </row>
    <row r="115" spans="1:21" x14ac:dyDescent="0.25">
      <c r="A115" s="32" t="s">
        <v>46</v>
      </c>
      <c r="B115" s="27">
        <v>628.32000000000005</v>
      </c>
      <c r="C115" s="27">
        <v>628.32000000000005</v>
      </c>
      <c r="D115" s="27">
        <v>628.32000000000005</v>
      </c>
      <c r="E115" s="27">
        <v>628.32000000000005</v>
      </c>
      <c r="F115" s="27">
        <v>628.32000000000005</v>
      </c>
      <c r="G115" s="27">
        <v>628.32000000000005</v>
      </c>
      <c r="H115" s="27">
        <v>628.32000000000005</v>
      </c>
      <c r="I115" s="27">
        <v>628.32000000000005</v>
      </c>
      <c r="J115" s="27">
        <v>628.32000000000005</v>
      </c>
      <c r="K115" s="27">
        <v>628.32000000000005</v>
      </c>
      <c r="L115" s="27">
        <v>628.32000000000005</v>
      </c>
      <c r="M115" s="27">
        <v>628.32000000000005</v>
      </c>
      <c r="N115" s="27">
        <v>628.32000000000005</v>
      </c>
      <c r="O115" s="27">
        <v>628.32000000000005</v>
      </c>
      <c r="P115" s="27">
        <v>628.32000000000005</v>
      </c>
      <c r="Q115" s="27">
        <v>628.32000000000005</v>
      </c>
      <c r="R115" s="27">
        <v>628.32000000000005</v>
      </c>
      <c r="S115" s="27">
        <v>628.32000000000005</v>
      </c>
      <c r="T115" s="27">
        <v>628.32000000000005</v>
      </c>
      <c r="U115" s="28">
        <v>628.32000000000005</v>
      </c>
    </row>
    <row r="116" spans="1:21" x14ac:dyDescent="0.25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2"/>
    </row>
    <row r="117" spans="1:21" x14ac:dyDescent="0.25">
      <c r="A117" s="34" t="s">
        <v>43</v>
      </c>
      <c r="B117" s="23">
        <v>1</v>
      </c>
      <c r="C117" s="23">
        <v>0.96618357487922713</v>
      </c>
      <c r="D117" s="23">
        <v>0.93351070036640305</v>
      </c>
      <c r="E117" s="23">
        <v>0.90194270566802237</v>
      </c>
      <c r="F117" s="23">
        <v>0.87144222769857238</v>
      </c>
      <c r="G117" s="23">
        <v>0.84197316685852419</v>
      </c>
      <c r="H117" s="23">
        <v>0.81350064430775282</v>
      </c>
      <c r="I117" s="23">
        <v>0.78599096068381913</v>
      </c>
      <c r="J117" s="23">
        <v>0.75941155621625056</v>
      </c>
      <c r="K117" s="23">
        <v>0.73373097218961414</v>
      </c>
      <c r="L117" s="23">
        <v>0.70891881370977217</v>
      </c>
      <c r="M117" s="23">
        <v>0.68494571372924851</v>
      </c>
      <c r="N117" s="23">
        <v>0.66178329828912896</v>
      </c>
      <c r="O117" s="23">
        <v>0.63940415293635666</v>
      </c>
      <c r="P117" s="23">
        <v>0.61778179027667302</v>
      </c>
      <c r="Q117" s="23">
        <v>0.59689061862480497</v>
      </c>
      <c r="R117" s="23">
        <v>0.57670591171478747</v>
      </c>
      <c r="S117" s="23">
        <v>0.55720377943457733</v>
      </c>
      <c r="T117" s="23">
        <v>0.53836113955031628</v>
      </c>
      <c r="U117" s="24">
        <v>0.52015569038677911</v>
      </c>
    </row>
    <row r="118" spans="1:21" x14ac:dyDescent="0.25">
      <c r="A118" s="35" t="s">
        <v>44</v>
      </c>
      <c r="B118" s="23">
        <f>((B114=B115)-(B105))*B117</f>
        <v>-90794.916505759989</v>
      </c>
      <c r="C118" s="23">
        <f t="shared" ref="C118:U118" si="56">(C114+C115)-SUM(C89:C105)*C117</f>
        <v>16313.024773919999</v>
      </c>
      <c r="D118" s="23">
        <f t="shared" si="56"/>
        <v>16295.031814271999</v>
      </c>
      <c r="E118" s="23">
        <f t="shared" si="56"/>
        <v>16277.165096736</v>
      </c>
      <c r="F118" s="23">
        <f t="shared" si="56"/>
        <v>16259.423180192</v>
      </c>
      <c r="G118" s="23">
        <f t="shared" si="56"/>
        <v>16241.805488192</v>
      </c>
      <c r="H118" s="23">
        <f t="shared" si="56"/>
        <v>16224.311156063999</v>
      </c>
      <c r="I118" s="23">
        <f t="shared" si="56"/>
        <v>16206.939319136</v>
      </c>
      <c r="J118" s="23">
        <f t="shared" si="56"/>
        <v>16189.689112736</v>
      </c>
      <c r="K118" s="23">
        <f t="shared" si="56"/>
        <v>16172.559672191999</v>
      </c>
      <c r="L118" s="23">
        <f t="shared" si="56"/>
        <v>16155.550132831999</v>
      </c>
      <c r="M118" s="23">
        <f t="shared" si="56"/>
        <v>16138.659629983998</v>
      </c>
      <c r="N118" s="23">
        <f t="shared" si="56"/>
        <v>16121.887298975998</v>
      </c>
      <c r="O118" s="23">
        <f t="shared" si="56"/>
        <v>16105.232563359999</v>
      </c>
      <c r="P118" s="23">
        <f t="shared" si="56"/>
        <v>16088.694270239999</v>
      </c>
      <c r="Q118" s="23">
        <f t="shared" si="56"/>
        <v>16072.271843167999</v>
      </c>
      <c r="R118" s="23">
        <f t="shared" si="56"/>
        <v>16055.964129247999</v>
      </c>
      <c r="S118" s="23">
        <f t="shared" si="56"/>
        <v>16039.770840255998</v>
      </c>
      <c r="T118" s="23">
        <f t="shared" si="56"/>
        <v>16023.690823296</v>
      </c>
      <c r="U118" s="24">
        <f t="shared" si="56"/>
        <v>16007.723213695999</v>
      </c>
    </row>
    <row r="120" spans="1:21" x14ac:dyDescent="0.25">
      <c r="A120" s="12" t="s">
        <v>45</v>
      </c>
      <c r="B120" s="12">
        <f>SUM(B118:U118)</f>
        <v>216194.47785273602</v>
      </c>
    </row>
    <row r="122" spans="1:21" x14ac:dyDescent="0.25">
      <c r="A122" s="12" t="s">
        <v>62</v>
      </c>
    </row>
    <row r="123" spans="1:21" x14ac:dyDescent="0.25">
      <c r="A123" s="36" t="s">
        <v>59</v>
      </c>
    </row>
    <row r="124" spans="1:21" x14ac:dyDescent="0.25">
      <c r="A124" s="12" t="s">
        <v>57</v>
      </c>
    </row>
    <row r="125" spans="1:21" x14ac:dyDescent="0.25">
      <c r="A125" s="14" t="s">
        <v>0</v>
      </c>
      <c r="B125" s="15">
        <v>1</v>
      </c>
      <c r="C125" s="15">
        <f>1+B125</f>
        <v>2</v>
      </c>
      <c r="D125" s="15">
        <f>+C125+1</f>
        <v>3</v>
      </c>
      <c r="E125" s="15">
        <f t="shared" ref="E125" si="57">+D125+1</f>
        <v>4</v>
      </c>
      <c r="F125" s="15">
        <f t="shared" ref="F125" si="58">+E125+1</f>
        <v>5</v>
      </c>
      <c r="G125" s="15">
        <f t="shared" ref="G125" si="59">+F125+1</f>
        <v>6</v>
      </c>
      <c r="H125" s="15">
        <f t="shared" ref="H125" si="60">+G125+1</f>
        <v>7</v>
      </c>
      <c r="I125" s="15">
        <f t="shared" ref="I125" si="61">+H125+1</f>
        <v>8</v>
      </c>
      <c r="J125" s="15">
        <f t="shared" ref="J125" si="62">+I125+1</f>
        <v>9</v>
      </c>
      <c r="K125" s="15">
        <f t="shared" ref="K125" si="63">+J125+1</f>
        <v>10</v>
      </c>
      <c r="L125" s="15">
        <f t="shared" ref="L125" si="64">+K125+1</f>
        <v>11</v>
      </c>
      <c r="M125" s="15">
        <f t="shared" ref="M125" si="65">+L125+1</f>
        <v>12</v>
      </c>
      <c r="N125" s="15">
        <f t="shared" ref="N125" si="66">+M125+1</f>
        <v>13</v>
      </c>
      <c r="O125" s="15">
        <f t="shared" ref="O125" si="67">+N125+1</f>
        <v>14</v>
      </c>
      <c r="P125" s="15">
        <f t="shared" ref="P125" si="68">+O125+1</f>
        <v>15</v>
      </c>
      <c r="Q125" s="15">
        <f t="shared" ref="Q125" si="69">+P125+1</f>
        <v>16</v>
      </c>
      <c r="R125" s="15">
        <f t="shared" ref="R125" si="70">+Q125+1</f>
        <v>17</v>
      </c>
      <c r="S125" s="15">
        <f t="shared" ref="S125" si="71">+R125+1</f>
        <v>18</v>
      </c>
      <c r="T125" s="15">
        <f t="shared" ref="T125" si="72">+S125+1</f>
        <v>19</v>
      </c>
      <c r="U125" s="16">
        <f t="shared" ref="U125" si="73">+T125+1</f>
        <v>20</v>
      </c>
    </row>
    <row r="126" spans="1:21" x14ac:dyDescent="0.25">
      <c r="A126" s="17" t="s">
        <v>1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9"/>
    </row>
    <row r="127" spans="1:21" x14ac:dyDescent="0.25">
      <c r="A127" s="26" t="s">
        <v>11</v>
      </c>
      <c r="B127" s="27">
        <v>3864.4785695999999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8"/>
    </row>
    <row r="128" spans="1:21" x14ac:dyDescent="0.25">
      <c r="A128" s="29" t="s">
        <v>13</v>
      </c>
      <c r="B128" s="27">
        <v>32723.141472159998</v>
      </c>
      <c r="C128" s="27"/>
      <c r="D128" s="27"/>
      <c r="E128" s="27"/>
      <c r="F128" s="27"/>
      <c r="G128" s="27"/>
      <c r="H128" s="27"/>
      <c r="I128" s="27"/>
      <c r="J128" s="27"/>
      <c r="K128" s="30"/>
      <c r="L128" s="27"/>
      <c r="M128" s="27"/>
      <c r="N128" s="27"/>
      <c r="O128" s="27"/>
      <c r="P128" s="27"/>
      <c r="Q128" s="27"/>
      <c r="R128" s="27"/>
      <c r="S128" s="27"/>
      <c r="T128" s="27"/>
      <c r="U128" s="28"/>
    </row>
    <row r="129" spans="1:21" x14ac:dyDescent="0.25">
      <c r="A129" s="26" t="s">
        <v>15</v>
      </c>
      <c r="B129" s="27">
        <v>11113.443311519999</v>
      </c>
      <c r="C129" s="27"/>
      <c r="D129" s="27"/>
      <c r="E129" s="27"/>
      <c r="F129" s="27"/>
      <c r="G129" s="27"/>
      <c r="H129" s="27"/>
      <c r="I129" s="27"/>
      <c r="J129" s="27"/>
      <c r="K129" s="30"/>
      <c r="L129" s="27"/>
      <c r="M129" s="27"/>
      <c r="N129" s="27"/>
      <c r="O129" s="27"/>
      <c r="P129" s="27"/>
      <c r="Q129" s="27"/>
      <c r="R129" s="27"/>
      <c r="S129" s="27"/>
      <c r="T129" s="27"/>
      <c r="U129" s="28"/>
    </row>
    <row r="130" spans="1:21" x14ac:dyDescent="0.25">
      <c r="A130" s="26" t="s">
        <v>17</v>
      </c>
      <c r="B130" s="27">
        <v>1202.5036737599999</v>
      </c>
      <c r="C130" s="27"/>
      <c r="D130" s="27"/>
      <c r="E130" s="27"/>
      <c r="F130" s="27"/>
      <c r="G130" s="27"/>
      <c r="H130" s="27"/>
      <c r="I130" s="27"/>
      <c r="J130" s="27"/>
      <c r="K130" s="30"/>
      <c r="L130" s="27"/>
      <c r="M130" s="27"/>
      <c r="N130" s="27"/>
      <c r="O130" s="27"/>
      <c r="P130" s="27"/>
      <c r="Q130" s="27"/>
      <c r="R130" s="27"/>
      <c r="S130" s="27"/>
      <c r="T130" s="27"/>
      <c r="U130" s="28"/>
    </row>
    <row r="131" spans="1:21" x14ac:dyDescent="0.25">
      <c r="A131" s="26" t="s">
        <v>19</v>
      </c>
      <c r="B131" s="27">
        <v>1806.19604736</v>
      </c>
      <c r="C131" s="27"/>
      <c r="D131" s="27"/>
      <c r="E131" s="27"/>
      <c r="F131" s="27"/>
      <c r="G131" s="27"/>
      <c r="H131" s="27"/>
      <c r="I131" s="27"/>
      <c r="J131" s="27"/>
      <c r="K131" s="30"/>
      <c r="L131" s="27"/>
      <c r="M131" s="27"/>
      <c r="N131" s="27"/>
      <c r="O131" s="27"/>
      <c r="P131" s="27"/>
      <c r="Q131" s="27"/>
      <c r="R131" s="27"/>
      <c r="S131" s="27"/>
      <c r="T131" s="27"/>
      <c r="U131" s="28"/>
    </row>
    <row r="132" spans="1:21" x14ac:dyDescent="0.25">
      <c r="A132" s="26" t="s">
        <v>21</v>
      </c>
      <c r="B132" s="27">
        <v>4856.5873700800003</v>
      </c>
      <c r="C132" s="27"/>
      <c r="D132" s="27"/>
      <c r="E132" s="27"/>
      <c r="F132" s="27"/>
      <c r="G132" s="27"/>
      <c r="H132" s="27"/>
      <c r="I132" s="27"/>
      <c r="J132" s="27"/>
      <c r="K132" s="30"/>
      <c r="L132" s="27"/>
      <c r="M132" s="27"/>
      <c r="N132" s="27"/>
      <c r="O132" s="27"/>
      <c r="P132" s="27"/>
      <c r="Q132" s="27"/>
      <c r="R132" s="27"/>
      <c r="S132" s="27"/>
      <c r="T132" s="27"/>
      <c r="U132" s="28"/>
    </row>
    <row r="133" spans="1:21" x14ac:dyDescent="0.25">
      <c r="A133" s="26" t="s">
        <v>23</v>
      </c>
      <c r="B133" s="27">
        <v>1722.1384</v>
      </c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8"/>
    </row>
    <row r="134" spans="1:21" x14ac:dyDescent="0.25">
      <c r="A134" s="26" t="s">
        <v>25</v>
      </c>
      <c r="B134" s="27">
        <v>695.91252464000002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8"/>
    </row>
    <row r="135" spans="1:21" x14ac:dyDescent="0.25">
      <c r="A135" s="26" t="s">
        <v>27</v>
      </c>
      <c r="B135" s="27">
        <v>554.83119999999997</v>
      </c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8"/>
    </row>
    <row r="136" spans="1:21" x14ac:dyDescent="0.25">
      <c r="A136" s="26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8"/>
    </row>
    <row r="137" spans="1:21" x14ac:dyDescent="0.25">
      <c r="A137" s="26" t="s">
        <v>28</v>
      </c>
      <c r="B137" s="27">
        <v>69362.045210240001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8"/>
    </row>
    <row r="138" spans="1:21" x14ac:dyDescent="0.25">
      <c r="A138" s="26" t="s">
        <v>30</v>
      </c>
      <c r="B138" s="27">
        <v>3468.1028369599999</v>
      </c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8"/>
    </row>
    <row r="139" spans="1:21" x14ac:dyDescent="0.25">
      <c r="A139" s="26" t="s">
        <v>32</v>
      </c>
      <c r="B139" s="27">
        <v>3468.1028369599999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8"/>
    </row>
    <row r="140" spans="1:21" x14ac:dyDescent="0.25">
      <c r="A140" s="26" t="s">
        <v>34</v>
      </c>
      <c r="B140" s="27">
        <v>76298.249443039997</v>
      </c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8"/>
    </row>
    <row r="141" spans="1:21" x14ac:dyDescent="0.25">
      <c r="A141" s="26" t="s">
        <v>67</v>
      </c>
      <c r="B141" s="27">
        <v>14496.66706272</v>
      </c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8"/>
    </row>
    <row r="142" spans="1:21" x14ac:dyDescent="0.25">
      <c r="A142" s="26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8"/>
    </row>
    <row r="143" spans="1:21" x14ac:dyDescent="0.25">
      <c r="A143" s="25" t="s">
        <v>48</v>
      </c>
      <c r="B143" s="27">
        <v>90794.916505759989</v>
      </c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8"/>
    </row>
    <row r="144" spans="1:21" x14ac:dyDescent="0.25">
      <c r="A144" s="31" t="s">
        <v>49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8"/>
    </row>
    <row r="145" spans="1:21" x14ac:dyDescent="0.25">
      <c r="A145" s="32" t="s">
        <v>50</v>
      </c>
      <c r="B145" s="27"/>
      <c r="C145" s="27">
        <v>17</v>
      </c>
      <c r="D145" s="27">
        <v>17</v>
      </c>
      <c r="E145" s="27">
        <v>17</v>
      </c>
      <c r="F145" s="27">
        <v>17</v>
      </c>
      <c r="G145" s="27">
        <v>17</v>
      </c>
      <c r="H145" s="27">
        <v>17</v>
      </c>
      <c r="I145" s="27">
        <v>17</v>
      </c>
      <c r="J145" s="27">
        <v>17</v>
      </c>
      <c r="K145" s="27">
        <v>17</v>
      </c>
      <c r="L145" s="27">
        <v>17</v>
      </c>
      <c r="M145" s="27">
        <v>17</v>
      </c>
      <c r="N145" s="27">
        <v>17</v>
      </c>
      <c r="O145" s="27">
        <v>17</v>
      </c>
      <c r="P145" s="27">
        <v>17</v>
      </c>
      <c r="Q145" s="27">
        <v>17</v>
      </c>
      <c r="R145" s="27">
        <v>17</v>
      </c>
      <c r="S145" s="27">
        <v>17</v>
      </c>
      <c r="T145" s="27">
        <v>17</v>
      </c>
      <c r="U145" s="28">
        <v>17</v>
      </c>
    </row>
    <row r="146" spans="1:21" x14ac:dyDescent="0.25">
      <c r="A146" s="32" t="s">
        <v>52</v>
      </c>
      <c r="B146" s="27"/>
      <c r="C146" s="27">
        <v>51</v>
      </c>
      <c r="D146" s="27">
        <v>51</v>
      </c>
      <c r="E146" s="27">
        <v>51</v>
      </c>
      <c r="F146" s="27">
        <v>51</v>
      </c>
      <c r="G146" s="27">
        <v>51</v>
      </c>
      <c r="H146" s="27">
        <v>51</v>
      </c>
      <c r="I146" s="27">
        <v>51</v>
      </c>
      <c r="J146" s="27">
        <v>51</v>
      </c>
      <c r="K146" s="27">
        <v>51</v>
      </c>
      <c r="L146" s="27">
        <v>51</v>
      </c>
      <c r="M146" s="27">
        <v>51</v>
      </c>
      <c r="N146" s="27">
        <v>51</v>
      </c>
      <c r="O146" s="27">
        <v>51</v>
      </c>
      <c r="P146" s="27">
        <v>51</v>
      </c>
      <c r="Q146" s="27">
        <v>51</v>
      </c>
      <c r="R146" s="27">
        <v>51</v>
      </c>
      <c r="S146" s="27">
        <v>51</v>
      </c>
      <c r="T146" s="27">
        <v>51</v>
      </c>
      <c r="U146" s="28">
        <v>51</v>
      </c>
    </row>
    <row r="147" spans="1:21" x14ac:dyDescent="0.25">
      <c r="A147" s="32" t="s">
        <v>51</v>
      </c>
      <c r="B147" s="27"/>
      <c r="C147" s="27">
        <v>36</v>
      </c>
      <c r="D147" s="27">
        <v>36</v>
      </c>
      <c r="E147" s="27">
        <v>36</v>
      </c>
      <c r="F147" s="27">
        <v>36</v>
      </c>
      <c r="G147" s="27">
        <v>36</v>
      </c>
      <c r="H147" s="27">
        <v>36</v>
      </c>
      <c r="I147" s="27">
        <v>36</v>
      </c>
      <c r="J147" s="27">
        <v>36</v>
      </c>
      <c r="K147" s="27">
        <v>36</v>
      </c>
      <c r="L147" s="27">
        <v>36</v>
      </c>
      <c r="M147" s="27">
        <v>36</v>
      </c>
      <c r="N147" s="27">
        <v>36</v>
      </c>
      <c r="O147" s="27">
        <v>36</v>
      </c>
      <c r="P147" s="27">
        <v>36</v>
      </c>
      <c r="Q147" s="27">
        <v>36</v>
      </c>
      <c r="R147" s="27">
        <v>36</v>
      </c>
      <c r="S147" s="27">
        <v>36</v>
      </c>
      <c r="T147" s="27">
        <v>36</v>
      </c>
      <c r="U147" s="28">
        <v>36</v>
      </c>
    </row>
    <row r="148" spans="1:21" x14ac:dyDescent="0.25">
      <c r="A148" s="26" t="s">
        <v>53</v>
      </c>
      <c r="B148" s="27"/>
      <c r="C148" s="27"/>
      <c r="D148" s="27"/>
      <c r="E148" s="27"/>
      <c r="F148" s="27"/>
      <c r="G148" s="27">
        <v>128.25968</v>
      </c>
      <c r="H148" s="27"/>
      <c r="I148" s="27"/>
      <c r="J148" s="27"/>
      <c r="K148" s="33">
        <v>648.50400000000002</v>
      </c>
      <c r="L148" s="27"/>
      <c r="M148" s="27">
        <v>128.25968</v>
      </c>
      <c r="N148" s="27"/>
      <c r="O148" s="27"/>
      <c r="P148" s="27"/>
      <c r="Q148" s="27"/>
      <c r="R148" s="27"/>
      <c r="S148" s="27">
        <v>128.25968</v>
      </c>
      <c r="T148" s="27"/>
      <c r="U148" s="28"/>
    </row>
    <row r="149" spans="1:21" x14ac:dyDescent="0.25">
      <c r="A149" s="26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8"/>
    </row>
    <row r="150" spans="1:21" x14ac:dyDescent="0.25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2"/>
    </row>
    <row r="151" spans="1:21" x14ac:dyDescent="0.25">
      <c r="A151" s="17" t="s">
        <v>37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3"/>
    </row>
    <row r="152" spans="1:21" x14ac:dyDescent="0.25">
      <c r="A152" s="32" t="s">
        <v>38</v>
      </c>
      <c r="B152" s="37">
        <v>10491.441220096</v>
      </c>
      <c r="C152" s="37">
        <v>10543.89827632</v>
      </c>
      <c r="D152" s="37">
        <v>10561.891235968</v>
      </c>
      <c r="E152" s="37">
        <v>10579.757953503999</v>
      </c>
      <c r="F152" s="37">
        <v>10597.499870047999</v>
      </c>
      <c r="G152" s="37">
        <v>10615.117562047999</v>
      </c>
      <c r="H152" s="37">
        <v>10632.611894176</v>
      </c>
      <c r="I152" s="37">
        <v>10649.983731103999</v>
      </c>
      <c r="J152" s="37">
        <v>10667.233937503999</v>
      </c>
      <c r="K152" s="37">
        <v>10684.363378048</v>
      </c>
      <c r="L152" s="37">
        <v>10701.372917408</v>
      </c>
      <c r="M152" s="37">
        <v>10718.263420256</v>
      </c>
      <c r="N152" s="37">
        <v>10735.035751264</v>
      </c>
      <c r="O152" s="37">
        <v>10751.690486879999</v>
      </c>
      <c r="P152" s="37">
        <v>10768.228779999999</v>
      </c>
      <c r="Q152" s="37">
        <v>10784.651207072</v>
      </c>
      <c r="R152" s="37">
        <v>10800.958920992</v>
      </c>
      <c r="S152" s="37">
        <v>10817.152209984</v>
      </c>
      <c r="T152" s="37">
        <v>10833.232226943999</v>
      </c>
      <c r="U152" s="38">
        <v>10849.199836543999</v>
      </c>
    </row>
    <row r="153" spans="1:21" x14ac:dyDescent="0.25">
      <c r="A153" s="32" t="s">
        <v>46</v>
      </c>
      <c r="B153" s="27">
        <v>628.32000000000005</v>
      </c>
      <c r="C153" s="27">
        <v>628.32000000000005</v>
      </c>
      <c r="D153" s="27">
        <v>628.32000000000005</v>
      </c>
      <c r="E153" s="27">
        <v>628.32000000000005</v>
      </c>
      <c r="F153" s="27">
        <v>628.32000000000005</v>
      </c>
      <c r="G153" s="27">
        <v>628.32000000000005</v>
      </c>
      <c r="H153" s="27">
        <v>628.32000000000005</v>
      </c>
      <c r="I153" s="27">
        <v>628.32000000000005</v>
      </c>
      <c r="J153" s="27">
        <v>628.32000000000005</v>
      </c>
      <c r="K153" s="27">
        <v>628.32000000000005</v>
      </c>
      <c r="L153" s="27">
        <v>628.32000000000005</v>
      </c>
      <c r="M153" s="27">
        <v>628.32000000000005</v>
      </c>
      <c r="N153" s="27">
        <v>628.32000000000005</v>
      </c>
      <c r="O153" s="27">
        <v>628.32000000000005</v>
      </c>
      <c r="P153" s="27">
        <v>628.32000000000005</v>
      </c>
      <c r="Q153" s="27">
        <v>628.32000000000005</v>
      </c>
      <c r="R153" s="27">
        <v>628.32000000000005</v>
      </c>
      <c r="S153" s="27">
        <v>628.32000000000005</v>
      </c>
      <c r="T153" s="27">
        <v>628.32000000000005</v>
      </c>
      <c r="U153" s="28">
        <v>628.32000000000005</v>
      </c>
    </row>
    <row r="154" spans="1:21" x14ac:dyDescent="0.25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2"/>
    </row>
    <row r="155" spans="1:21" x14ac:dyDescent="0.25">
      <c r="A155" s="34" t="s">
        <v>43</v>
      </c>
      <c r="B155" s="23">
        <v>1</v>
      </c>
      <c r="C155" s="23">
        <v>0.96618357487922713</v>
      </c>
      <c r="D155" s="23">
        <v>0.93351070036640305</v>
      </c>
      <c r="E155" s="23">
        <v>0.90194270566802237</v>
      </c>
      <c r="F155" s="23">
        <v>0.87144222769857238</v>
      </c>
      <c r="G155" s="23">
        <v>0.84197316685852419</v>
      </c>
      <c r="H155" s="23">
        <v>0.81350064430775282</v>
      </c>
      <c r="I155" s="23">
        <v>0.78599096068381913</v>
      </c>
      <c r="J155" s="23">
        <v>0.75941155621625056</v>
      </c>
      <c r="K155" s="23">
        <v>0.73373097218961414</v>
      </c>
      <c r="L155" s="23">
        <v>0.70891881370977217</v>
      </c>
      <c r="M155" s="23">
        <v>0.68494571372924851</v>
      </c>
      <c r="N155" s="23">
        <v>0.66178329828912896</v>
      </c>
      <c r="O155" s="23">
        <v>0.63940415293635666</v>
      </c>
      <c r="P155" s="23">
        <v>0.61778179027667302</v>
      </c>
      <c r="Q155" s="23">
        <v>0.59689061862480497</v>
      </c>
      <c r="R155" s="23">
        <v>0.57670591171478747</v>
      </c>
      <c r="S155" s="23">
        <v>0.55720377943457733</v>
      </c>
      <c r="T155" s="23">
        <v>0.53836113955031628</v>
      </c>
      <c r="U155" s="24">
        <v>0.52015569038677911</v>
      </c>
    </row>
    <row r="156" spans="1:21" x14ac:dyDescent="0.25">
      <c r="A156" s="35" t="s">
        <v>44</v>
      </c>
      <c r="B156" s="23">
        <f>((B152=B153)-(B143))*B155</f>
        <v>-90794.916505759989</v>
      </c>
      <c r="C156" s="23">
        <f t="shared" ref="C156:U156" si="74">(C152+C153)-SUM(C127:C143)*C155</f>
        <v>11172.21827632</v>
      </c>
      <c r="D156" s="23">
        <f t="shared" si="74"/>
        <v>11190.211235968</v>
      </c>
      <c r="E156" s="23">
        <f t="shared" si="74"/>
        <v>11208.077953503998</v>
      </c>
      <c r="F156" s="23">
        <f t="shared" si="74"/>
        <v>11225.819870047999</v>
      </c>
      <c r="G156" s="23">
        <f t="shared" si="74"/>
        <v>11243.437562047999</v>
      </c>
      <c r="H156" s="23">
        <f t="shared" si="74"/>
        <v>11260.931894175999</v>
      </c>
      <c r="I156" s="23">
        <f t="shared" si="74"/>
        <v>11278.303731103999</v>
      </c>
      <c r="J156" s="23">
        <f t="shared" si="74"/>
        <v>11295.553937503999</v>
      </c>
      <c r="K156" s="23">
        <f t="shared" si="74"/>
        <v>11312.683378047999</v>
      </c>
      <c r="L156" s="23">
        <f t="shared" si="74"/>
        <v>11329.692917408</v>
      </c>
      <c r="M156" s="23">
        <f t="shared" si="74"/>
        <v>11346.583420256</v>
      </c>
      <c r="N156" s="23">
        <f t="shared" si="74"/>
        <v>11363.355751264</v>
      </c>
      <c r="O156" s="23">
        <f t="shared" si="74"/>
        <v>11380.010486879999</v>
      </c>
      <c r="P156" s="23">
        <f t="shared" si="74"/>
        <v>11396.548779999999</v>
      </c>
      <c r="Q156" s="23">
        <f t="shared" si="74"/>
        <v>11412.971207072</v>
      </c>
      <c r="R156" s="23">
        <f t="shared" si="74"/>
        <v>11429.278920991999</v>
      </c>
      <c r="S156" s="23">
        <f t="shared" si="74"/>
        <v>11445.472209984</v>
      </c>
      <c r="T156" s="23">
        <f t="shared" si="74"/>
        <v>11461.552226943999</v>
      </c>
      <c r="U156" s="24">
        <f t="shared" si="74"/>
        <v>11477.519836543999</v>
      </c>
    </row>
    <row r="158" spans="1:21" x14ac:dyDescent="0.25">
      <c r="A158" s="12" t="s">
        <v>45</v>
      </c>
      <c r="B158" s="12">
        <f>SUM(B156:U156)</f>
        <v>124435.30709030399</v>
      </c>
    </row>
    <row r="160" spans="1:21" x14ac:dyDescent="0.25">
      <c r="A160" s="13" t="s">
        <v>63</v>
      </c>
    </row>
    <row r="161" spans="1:21" x14ac:dyDescent="0.25">
      <c r="A161" s="12" t="s">
        <v>57</v>
      </c>
    </row>
    <row r="162" spans="1:21" x14ac:dyDescent="0.25">
      <c r="A162" s="14" t="s">
        <v>0</v>
      </c>
      <c r="B162" s="15">
        <v>1</v>
      </c>
      <c r="C162" s="15">
        <f>1+B162</f>
        <v>2</v>
      </c>
      <c r="D162" s="15">
        <f>+C162+1</f>
        <v>3</v>
      </c>
      <c r="E162" s="15">
        <f t="shared" ref="E162" si="75">+D162+1</f>
        <v>4</v>
      </c>
      <c r="F162" s="15">
        <f t="shared" ref="F162" si="76">+E162+1</f>
        <v>5</v>
      </c>
      <c r="G162" s="15">
        <f t="shared" ref="G162" si="77">+F162+1</f>
        <v>6</v>
      </c>
      <c r="H162" s="15">
        <f t="shared" ref="H162" si="78">+G162+1</f>
        <v>7</v>
      </c>
      <c r="I162" s="15">
        <f t="shared" ref="I162" si="79">+H162+1</f>
        <v>8</v>
      </c>
      <c r="J162" s="15">
        <f t="shared" ref="J162" si="80">+I162+1</f>
        <v>9</v>
      </c>
      <c r="K162" s="15">
        <f t="shared" ref="K162" si="81">+J162+1</f>
        <v>10</v>
      </c>
      <c r="L162" s="15">
        <f t="shared" ref="L162" si="82">+K162+1</f>
        <v>11</v>
      </c>
      <c r="M162" s="15">
        <f t="shared" ref="M162" si="83">+L162+1</f>
        <v>12</v>
      </c>
      <c r="N162" s="15">
        <f t="shared" ref="N162" si="84">+M162+1</f>
        <v>13</v>
      </c>
      <c r="O162" s="15">
        <f t="shared" ref="O162" si="85">+N162+1</f>
        <v>14</v>
      </c>
      <c r="P162" s="15">
        <f t="shared" ref="P162" si="86">+O162+1</f>
        <v>15</v>
      </c>
      <c r="Q162" s="15">
        <f t="shared" ref="Q162" si="87">+P162+1</f>
        <v>16</v>
      </c>
      <c r="R162" s="15">
        <f t="shared" ref="R162" si="88">+Q162+1</f>
        <v>17</v>
      </c>
      <c r="S162" s="15">
        <f t="shared" ref="S162" si="89">+R162+1</f>
        <v>18</v>
      </c>
      <c r="T162" s="15">
        <f t="shared" ref="T162" si="90">+S162+1</f>
        <v>19</v>
      </c>
      <c r="U162" s="16">
        <f t="shared" ref="U162" si="91">+T162+1</f>
        <v>20</v>
      </c>
    </row>
    <row r="163" spans="1:21" x14ac:dyDescent="0.25">
      <c r="A163" s="17" t="s">
        <v>1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9"/>
    </row>
    <row r="164" spans="1:21" x14ac:dyDescent="0.25">
      <c r="A164" s="26" t="s">
        <v>11</v>
      </c>
      <c r="B164" s="27">
        <v>3864.4785695999999</v>
      </c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8"/>
    </row>
    <row r="165" spans="1:21" x14ac:dyDescent="0.25">
      <c r="A165" s="29" t="s">
        <v>13</v>
      </c>
      <c r="B165" s="27">
        <v>32723.141472159998</v>
      </c>
      <c r="C165" s="27"/>
      <c r="D165" s="27"/>
      <c r="E165" s="27"/>
      <c r="F165" s="27"/>
      <c r="G165" s="27"/>
      <c r="H165" s="27"/>
      <c r="I165" s="27"/>
      <c r="J165" s="27"/>
      <c r="K165" s="30"/>
      <c r="L165" s="27"/>
      <c r="M165" s="27"/>
      <c r="N165" s="27"/>
      <c r="O165" s="27"/>
      <c r="P165" s="27"/>
      <c r="Q165" s="27"/>
      <c r="R165" s="27"/>
      <c r="S165" s="27"/>
      <c r="T165" s="27"/>
      <c r="U165" s="28"/>
    </row>
    <row r="166" spans="1:21" x14ac:dyDescent="0.25">
      <c r="A166" s="26" t="s">
        <v>15</v>
      </c>
      <c r="B166" s="27">
        <v>11113.443311519999</v>
      </c>
      <c r="C166" s="27"/>
      <c r="D166" s="27"/>
      <c r="E166" s="27"/>
      <c r="F166" s="27"/>
      <c r="G166" s="27"/>
      <c r="H166" s="27"/>
      <c r="I166" s="27"/>
      <c r="J166" s="27"/>
      <c r="K166" s="30"/>
      <c r="L166" s="27"/>
      <c r="M166" s="27"/>
      <c r="N166" s="27"/>
      <c r="O166" s="27"/>
      <c r="P166" s="27"/>
      <c r="Q166" s="27"/>
      <c r="R166" s="27"/>
      <c r="S166" s="27"/>
      <c r="T166" s="27"/>
      <c r="U166" s="28"/>
    </row>
    <row r="167" spans="1:21" x14ac:dyDescent="0.25">
      <c r="A167" s="26" t="s">
        <v>17</v>
      </c>
      <c r="B167" s="27">
        <v>1202.5036737599999</v>
      </c>
      <c r="C167" s="27"/>
      <c r="D167" s="27"/>
      <c r="E167" s="27"/>
      <c r="F167" s="27"/>
      <c r="G167" s="27"/>
      <c r="H167" s="27"/>
      <c r="I167" s="27"/>
      <c r="J167" s="27"/>
      <c r="K167" s="30"/>
      <c r="L167" s="27"/>
      <c r="M167" s="27"/>
      <c r="N167" s="27"/>
      <c r="O167" s="27"/>
      <c r="P167" s="27"/>
      <c r="Q167" s="27"/>
      <c r="R167" s="27"/>
      <c r="S167" s="27"/>
      <c r="T167" s="27"/>
      <c r="U167" s="28"/>
    </row>
    <row r="168" spans="1:21" x14ac:dyDescent="0.25">
      <c r="A168" s="26" t="s">
        <v>19</v>
      </c>
      <c r="B168" s="27">
        <v>1806.19604736</v>
      </c>
      <c r="C168" s="27"/>
      <c r="D168" s="27"/>
      <c r="E168" s="27"/>
      <c r="F168" s="27"/>
      <c r="G168" s="27"/>
      <c r="H168" s="27"/>
      <c r="I168" s="27"/>
      <c r="J168" s="27"/>
      <c r="K168" s="30"/>
      <c r="L168" s="27"/>
      <c r="M168" s="27"/>
      <c r="N168" s="27"/>
      <c r="O168" s="27"/>
      <c r="P168" s="27"/>
      <c r="Q168" s="27"/>
      <c r="R168" s="27"/>
      <c r="S168" s="27"/>
      <c r="T168" s="27"/>
      <c r="U168" s="28"/>
    </row>
    <row r="169" spans="1:21" x14ac:dyDescent="0.25">
      <c r="A169" s="26" t="s">
        <v>21</v>
      </c>
      <c r="B169" s="27">
        <v>4856.5873700800003</v>
      </c>
      <c r="C169" s="27"/>
      <c r="D169" s="27"/>
      <c r="E169" s="27"/>
      <c r="F169" s="27"/>
      <c r="G169" s="27"/>
      <c r="H169" s="27"/>
      <c r="I169" s="27"/>
      <c r="J169" s="27"/>
      <c r="K169" s="30"/>
      <c r="L169" s="27"/>
      <c r="M169" s="27"/>
      <c r="N169" s="27"/>
      <c r="O169" s="27"/>
      <c r="P169" s="27"/>
      <c r="Q169" s="27"/>
      <c r="R169" s="27"/>
      <c r="S169" s="27"/>
      <c r="T169" s="27"/>
      <c r="U169" s="28"/>
    </row>
    <row r="170" spans="1:21" x14ac:dyDescent="0.25">
      <c r="A170" s="26" t="s">
        <v>23</v>
      </c>
      <c r="B170" s="27">
        <v>1722.1384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8"/>
    </row>
    <row r="171" spans="1:21" x14ac:dyDescent="0.25">
      <c r="A171" s="26" t="s">
        <v>25</v>
      </c>
      <c r="B171" s="27">
        <v>695.91252464000002</v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8"/>
    </row>
    <row r="172" spans="1:21" x14ac:dyDescent="0.25">
      <c r="A172" s="26" t="s">
        <v>27</v>
      </c>
      <c r="B172" s="27">
        <v>554.83119999999997</v>
      </c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8"/>
    </row>
    <row r="173" spans="1:21" x14ac:dyDescent="0.25">
      <c r="A173" s="26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8"/>
    </row>
    <row r="174" spans="1:21" x14ac:dyDescent="0.25">
      <c r="A174" s="26" t="s">
        <v>28</v>
      </c>
      <c r="B174" s="27">
        <v>69362.045210240001</v>
      </c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8"/>
    </row>
    <row r="175" spans="1:21" x14ac:dyDescent="0.25">
      <c r="A175" s="26" t="s">
        <v>30</v>
      </c>
      <c r="B175" s="27">
        <v>3468.1028369599999</v>
      </c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8"/>
    </row>
    <row r="176" spans="1:21" x14ac:dyDescent="0.25">
      <c r="A176" s="26" t="s">
        <v>32</v>
      </c>
      <c r="B176" s="27">
        <v>3468.1028369599999</v>
      </c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8"/>
    </row>
    <row r="177" spans="1:21" x14ac:dyDescent="0.25">
      <c r="A177" s="26" t="s">
        <v>34</v>
      </c>
      <c r="B177" s="27">
        <v>76298.249443039997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8"/>
    </row>
    <row r="178" spans="1:21" x14ac:dyDescent="0.25">
      <c r="A178" s="26" t="s">
        <v>67</v>
      </c>
      <c r="B178" s="27">
        <v>14496.66706272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8"/>
    </row>
    <row r="179" spans="1:21" x14ac:dyDescent="0.25">
      <c r="A179" s="26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8"/>
    </row>
    <row r="180" spans="1:21" x14ac:dyDescent="0.25">
      <c r="A180" s="25" t="s">
        <v>48</v>
      </c>
      <c r="B180" s="27">
        <v>90794.916505759989</v>
      </c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8"/>
    </row>
    <row r="181" spans="1:21" x14ac:dyDescent="0.25">
      <c r="A181" s="31" t="s">
        <v>49</v>
      </c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8"/>
    </row>
    <row r="182" spans="1:21" x14ac:dyDescent="0.25">
      <c r="A182" s="32" t="s">
        <v>50</v>
      </c>
      <c r="B182" s="27"/>
      <c r="C182" s="27">
        <v>17</v>
      </c>
      <c r="D182" s="27">
        <v>17</v>
      </c>
      <c r="E182" s="27">
        <v>17</v>
      </c>
      <c r="F182" s="27">
        <v>17</v>
      </c>
      <c r="G182" s="27">
        <v>17</v>
      </c>
      <c r="H182" s="27">
        <v>17</v>
      </c>
      <c r="I182" s="27">
        <v>17</v>
      </c>
      <c r="J182" s="27">
        <v>17</v>
      </c>
      <c r="K182" s="27">
        <v>17</v>
      </c>
      <c r="L182" s="27">
        <v>17</v>
      </c>
      <c r="M182" s="27">
        <v>17</v>
      </c>
      <c r="N182" s="27">
        <v>17</v>
      </c>
      <c r="O182" s="27">
        <v>17</v>
      </c>
      <c r="P182" s="27">
        <v>17</v>
      </c>
      <c r="Q182" s="27">
        <v>17</v>
      </c>
      <c r="R182" s="27">
        <v>17</v>
      </c>
      <c r="S182" s="27">
        <v>17</v>
      </c>
      <c r="T182" s="27">
        <v>17</v>
      </c>
      <c r="U182" s="28">
        <v>17</v>
      </c>
    </row>
    <row r="183" spans="1:21" x14ac:dyDescent="0.25">
      <c r="A183" s="32" t="s">
        <v>52</v>
      </c>
      <c r="B183" s="27"/>
      <c r="C183" s="27">
        <v>51</v>
      </c>
      <c r="D183" s="27">
        <v>51</v>
      </c>
      <c r="E183" s="27">
        <v>51</v>
      </c>
      <c r="F183" s="27">
        <v>51</v>
      </c>
      <c r="G183" s="27">
        <v>51</v>
      </c>
      <c r="H183" s="27">
        <v>51</v>
      </c>
      <c r="I183" s="27">
        <v>51</v>
      </c>
      <c r="J183" s="27">
        <v>51</v>
      </c>
      <c r="K183" s="27">
        <v>51</v>
      </c>
      <c r="L183" s="27">
        <v>51</v>
      </c>
      <c r="M183" s="27">
        <v>51</v>
      </c>
      <c r="N183" s="27">
        <v>51</v>
      </c>
      <c r="O183" s="27">
        <v>51</v>
      </c>
      <c r="P183" s="27">
        <v>51</v>
      </c>
      <c r="Q183" s="27">
        <v>51</v>
      </c>
      <c r="R183" s="27">
        <v>51</v>
      </c>
      <c r="S183" s="27">
        <v>51</v>
      </c>
      <c r="T183" s="27">
        <v>51</v>
      </c>
      <c r="U183" s="28">
        <v>51</v>
      </c>
    </row>
    <row r="184" spans="1:21" x14ac:dyDescent="0.25">
      <c r="A184" s="32" t="s">
        <v>51</v>
      </c>
      <c r="B184" s="27"/>
      <c r="C184" s="27">
        <v>36</v>
      </c>
      <c r="D184" s="27">
        <v>36</v>
      </c>
      <c r="E184" s="27">
        <v>36</v>
      </c>
      <c r="F184" s="27">
        <v>36</v>
      </c>
      <c r="G184" s="27">
        <v>36</v>
      </c>
      <c r="H184" s="27">
        <v>36</v>
      </c>
      <c r="I184" s="27">
        <v>36</v>
      </c>
      <c r="J184" s="27">
        <v>36</v>
      </c>
      <c r="K184" s="27">
        <v>36</v>
      </c>
      <c r="L184" s="27">
        <v>36</v>
      </c>
      <c r="M184" s="27">
        <v>36</v>
      </c>
      <c r="N184" s="27">
        <v>36</v>
      </c>
      <c r="O184" s="27">
        <v>36</v>
      </c>
      <c r="P184" s="27">
        <v>36</v>
      </c>
      <c r="Q184" s="27">
        <v>36</v>
      </c>
      <c r="R184" s="27">
        <v>36</v>
      </c>
      <c r="S184" s="27">
        <v>36</v>
      </c>
      <c r="T184" s="27">
        <v>36</v>
      </c>
      <c r="U184" s="28">
        <v>36</v>
      </c>
    </row>
    <row r="185" spans="1:21" x14ac:dyDescent="0.25">
      <c r="A185" s="26" t="s">
        <v>53</v>
      </c>
      <c r="B185" s="27"/>
      <c r="C185" s="27"/>
      <c r="D185" s="27"/>
      <c r="E185" s="27"/>
      <c r="F185" s="27"/>
      <c r="G185" s="27">
        <v>128.25968</v>
      </c>
      <c r="H185" s="27"/>
      <c r="I185" s="27"/>
      <c r="J185" s="27"/>
      <c r="K185" s="33">
        <v>648.50400000000002</v>
      </c>
      <c r="L185" s="27"/>
      <c r="M185" s="27">
        <v>128.25968</v>
      </c>
      <c r="N185" s="27"/>
      <c r="O185" s="27"/>
      <c r="P185" s="27"/>
      <c r="Q185" s="27"/>
      <c r="R185" s="27"/>
      <c r="S185" s="27">
        <v>128.25968</v>
      </c>
      <c r="T185" s="27"/>
      <c r="U185" s="28"/>
    </row>
    <row r="186" spans="1:21" x14ac:dyDescent="0.25">
      <c r="A186" s="26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8"/>
    </row>
    <row r="187" spans="1:21" x14ac:dyDescent="0.25">
      <c r="A187" s="20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2"/>
    </row>
    <row r="188" spans="1:21" x14ac:dyDescent="0.25">
      <c r="A188" s="17" t="s">
        <v>37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9"/>
    </row>
    <row r="189" spans="1:21" x14ac:dyDescent="0.25">
      <c r="A189" s="32" t="s">
        <v>38</v>
      </c>
      <c r="B189" s="37">
        <v>13114.301525119999</v>
      </c>
      <c r="C189" s="37">
        <v>12852.016244</v>
      </c>
      <c r="D189" s="37">
        <v>12762.05144576</v>
      </c>
      <c r="E189" s="37">
        <v>12672.717858079999</v>
      </c>
      <c r="F189" s="37">
        <v>12584.00827536</v>
      </c>
      <c r="G189" s="37">
        <v>12495.919815359999</v>
      </c>
      <c r="H189" s="37">
        <v>12408.448154719999</v>
      </c>
      <c r="I189" s="37">
        <v>12321.58897008</v>
      </c>
      <c r="J189" s="37">
        <v>12235.33793808</v>
      </c>
      <c r="K189" s="37">
        <v>12149.69073536</v>
      </c>
      <c r="L189" s="37">
        <v>12064.64303856</v>
      </c>
      <c r="M189" s="37">
        <v>11980.19052432</v>
      </c>
      <c r="N189" s="37">
        <v>11896.32886928</v>
      </c>
      <c r="O189" s="37">
        <v>11813.055191199999</v>
      </c>
      <c r="P189" s="37">
        <v>11730.3637256</v>
      </c>
      <c r="Q189" s="37">
        <v>11648.251590239999</v>
      </c>
      <c r="R189" s="37">
        <v>11566.71302064</v>
      </c>
      <c r="S189" s="37">
        <v>11485.746575679999</v>
      </c>
      <c r="T189" s="37">
        <v>11405.34649088</v>
      </c>
      <c r="U189" s="38">
        <v>11325.50844288</v>
      </c>
    </row>
    <row r="190" spans="1:21" x14ac:dyDescent="0.25">
      <c r="A190" s="32" t="s">
        <v>46</v>
      </c>
      <c r="B190" s="27">
        <v>628.32000000000005</v>
      </c>
      <c r="C190" s="27">
        <v>628.32000000000005</v>
      </c>
      <c r="D190" s="27">
        <v>628.32000000000005</v>
      </c>
      <c r="E190" s="27">
        <v>628.32000000000005</v>
      </c>
      <c r="F190" s="27">
        <v>628.32000000000005</v>
      </c>
      <c r="G190" s="27">
        <v>628.32000000000005</v>
      </c>
      <c r="H190" s="27">
        <v>628.32000000000005</v>
      </c>
      <c r="I190" s="27">
        <v>628.32000000000005</v>
      </c>
      <c r="J190" s="27">
        <v>628.32000000000005</v>
      </c>
      <c r="K190" s="27">
        <v>628.32000000000005</v>
      </c>
      <c r="L190" s="27">
        <v>628.32000000000005</v>
      </c>
      <c r="M190" s="27">
        <v>628.32000000000005</v>
      </c>
      <c r="N190" s="27">
        <v>628.32000000000005</v>
      </c>
      <c r="O190" s="27">
        <v>628.32000000000005</v>
      </c>
      <c r="P190" s="27">
        <v>628.32000000000005</v>
      </c>
      <c r="Q190" s="27">
        <v>628.32000000000005</v>
      </c>
      <c r="R190" s="27">
        <v>628.32000000000005</v>
      </c>
      <c r="S190" s="27">
        <v>628.32000000000005</v>
      </c>
      <c r="T190" s="27">
        <v>628.32000000000005</v>
      </c>
      <c r="U190" s="28">
        <v>628.32000000000005</v>
      </c>
    </row>
    <row r="191" spans="1:21" x14ac:dyDescent="0.25">
      <c r="A191" s="20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2"/>
    </row>
    <row r="192" spans="1:21" x14ac:dyDescent="0.25">
      <c r="A192" s="34" t="s">
        <v>64</v>
      </c>
      <c r="B192" s="23">
        <f>1/(1+0.1)^(B162-1)</f>
        <v>1</v>
      </c>
      <c r="C192" s="23">
        <f t="shared" ref="C192:U192" si="92">1/(1+0.1)^(C162-1)</f>
        <v>0.90909090909090906</v>
      </c>
      <c r="D192" s="23">
        <f t="shared" si="92"/>
        <v>0.82644628099173545</v>
      </c>
      <c r="E192" s="23">
        <f t="shared" si="92"/>
        <v>0.75131480090157754</v>
      </c>
      <c r="F192" s="23">
        <f t="shared" si="92"/>
        <v>0.68301345536507052</v>
      </c>
      <c r="G192" s="23">
        <f t="shared" si="92"/>
        <v>0.62092132305915493</v>
      </c>
      <c r="H192" s="23">
        <f t="shared" si="92"/>
        <v>0.56447393005377722</v>
      </c>
      <c r="I192" s="23">
        <f t="shared" si="92"/>
        <v>0.51315811823070645</v>
      </c>
      <c r="J192" s="23">
        <f t="shared" si="92"/>
        <v>0.46650738020973315</v>
      </c>
      <c r="K192" s="23">
        <f t="shared" si="92"/>
        <v>0.42409761837248466</v>
      </c>
      <c r="L192" s="23">
        <f t="shared" si="92"/>
        <v>0.38554328942953148</v>
      </c>
      <c r="M192" s="23">
        <f t="shared" si="92"/>
        <v>0.3504938994813922</v>
      </c>
      <c r="N192" s="23">
        <f t="shared" si="92"/>
        <v>0.31863081771035656</v>
      </c>
      <c r="O192" s="23">
        <f t="shared" si="92"/>
        <v>0.28966437973668779</v>
      </c>
      <c r="P192" s="23">
        <f t="shared" si="92"/>
        <v>0.26333125430607973</v>
      </c>
      <c r="Q192" s="23">
        <f t="shared" si="92"/>
        <v>0.23939204936916339</v>
      </c>
      <c r="R192" s="23">
        <f t="shared" si="92"/>
        <v>0.21762913579014853</v>
      </c>
      <c r="S192" s="23">
        <f t="shared" si="92"/>
        <v>0.19784466890013502</v>
      </c>
      <c r="T192" s="23">
        <f t="shared" si="92"/>
        <v>0.17985878990921364</v>
      </c>
      <c r="U192" s="24">
        <f t="shared" si="92"/>
        <v>0.16350799082655781</v>
      </c>
    </row>
    <row r="193" spans="1:21" x14ac:dyDescent="0.25">
      <c r="A193" s="35" t="s">
        <v>44</v>
      </c>
      <c r="B193" s="23">
        <f>((B189=B190)-(B180))*B192</f>
        <v>-90794.916505759989</v>
      </c>
      <c r="C193" s="23">
        <f>(C189+C190)-SUM(C182:C184)*C192</f>
        <v>13385.790789454546</v>
      </c>
      <c r="D193" s="23">
        <f t="shared" ref="D193:U193" si="93">(D189+D190)-SUM(D182:D184)*D192</f>
        <v>13304.421032536859</v>
      </c>
      <c r="E193" s="23">
        <f t="shared" si="93"/>
        <v>13222.901118786234</v>
      </c>
      <c r="F193" s="23">
        <f t="shared" si="93"/>
        <v>13141.294876002032</v>
      </c>
      <c r="G193" s="23">
        <f t="shared" si="93"/>
        <v>13059.663997761847</v>
      </c>
      <c r="H193" s="23">
        <f t="shared" si="93"/>
        <v>12978.062865994407</v>
      </c>
      <c r="I193" s="23">
        <f t="shared" si="93"/>
        <v>12896.540525784007</v>
      </c>
      <c r="J193" s="23">
        <f t="shared" si="93"/>
        <v>12815.141170538187</v>
      </c>
      <c r="K193" s="23">
        <f t="shared" si="93"/>
        <v>12733.904583049261</v>
      </c>
      <c r="L193" s="23">
        <f t="shared" si="93"/>
        <v>12652.866536459329</v>
      </c>
      <c r="M193" s="23">
        <f t="shared" si="93"/>
        <v>12572.059158773935</v>
      </c>
      <c r="N193" s="23">
        <f t="shared" si="93"/>
        <v>12491.511264238123</v>
      </c>
      <c r="O193" s="23">
        <f t="shared" si="93"/>
        <v>12411.250095707383</v>
      </c>
      <c r="P193" s="23">
        <f t="shared" si="93"/>
        <v>12331.297275152168</v>
      </c>
      <c r="Q193" s="23">
        <f t="shared" si="93"/>
        <v>12251.674817105606</v>
      </c>
      <c r="R193" s="23">
        <f t="shared" si="93"/>
        <v>12172.399590517824</v>
      </c>
      <c r="S193" s="23">
        <f t="shared" si="93"/>
        <v>12093.490730114385</v>
      </c>
      <c r="T193" s="23">
        <f t="shared" si="93"/>
        <v>12014.961176729441</v>
      </c>
      <c r="U193" s="24">
        <f t="shared" si="93"/>
        <v>11936.823611834037</v>
      </c>
    </row>
    <row r="195" spans="1:21" x14ac:dyDescent="0.25">
      <c r="A195" s="12" t="s">
        <v>45</v>
      </c>
      <c r="B195" s="12">
        <f>SUM(B193:U193)</f>
        <v>149671.1387107796</v>
      </c>
    </row>
    <row r="197" spans="1:21" x14ac:dyDescent="0.25">
      <c r="A197" s="13" t="s">
        <v>65</v>
      </c>
    </row>
    <row r="198" spans="1:21" x14ac:dyDescent="0.25">
      <c r="A198" s="12" t="s">
        <v>58</v>
      </c>
    </row>
    <row r="199" spans="1:21" x14ac:dyDescent="0.25">
      <c r="A199" s="14" t="s">
        <v>0</v>
      </c>
      <c r="B199" s="15">
        <v>1</v>
      </c>
      <c r="C199" s="15">
        <f>1+B199</f>
        <v>2</v>
      </c>
      <c r="D199" s="15">
        <f>+C199+1</f>
        <v>3</v>
      </c>
      <c r="E199" s="15">
        <f t="shared" ref="E199" si="94">+D199+1</f>
        <v>4</v>
      </c>
      <c r="F199" s="15">
        <f t="shared" ref="F199" si="95">+E199+1</f>
        <v>5</v>
      </c>
      <c r="G199" s="15">
        <f t="shared" ref="G199" si="96">+F199+1</f>
        <v>6</v>
      </c>
      <c r="H199" s="15">
        <f t="shared" ref="H199" si="97">+G199+1</f>
        <v>7</v>
      </c>
      <c r="I199" s="15">
        <f t="shared" ref="I199" si="98">+H199+1</f>
        <v>8</v>
      </c>
      <c r="J199" s="15">
        <f t="shared" ref="J199" si="99">+I199+1</f>
        <v>9</v>
      </c>
      <c r="K199" s="15">
        <f t="shared" ref="K199" si="100">+J199+1</f>
        <v>10</v>
      </c>
      <c r="L199" s="15">
        <f t="shared" ref="L199" si="101">+K199+1</f>
        <v>11</v>
      </c>
      <c r="M199" s="15">
        <f t="shared" ref="M199" si="102">+L199+1</f>
        <v>12</v>
      </c>
      <c r="N199" s="15">
        <f t="shared" ref="N199" si="103">+M199+1</f>
        <v>13</v>
      </c>
      <c r="O199" s="15">
        <f t="shared" ref="O199" si="104">+N199+1</f>
        <v>14</v>
      </c>
      <c r="P199" s="15">
        <f t="shared" ref="P199" si="105">+O199+1</f>
        <v>15</v>
      </c>
      <c r="Q199" s="15">
        <f t="shared" ref="Q199" si="106">+P199+1</f>
        <v>16</v>
      </c>
      <c r="R199" s="15">
        <f t="shared" ref="R199" si="107">+Q199+1</f>
        <v>17</v>
      </c>
      <c r="S199" s="15">
        <f t="shared" ref="S199" si="108">+R199+1</f>
        <v>18</v>
      </c>
      <c r="T199" s="15">
        <f t="shared" ref="T199" si="109">+S199+1</f>
        <v>19</v>
      </c>
      <c r="U199" s="16">
        <f t="shared" ref="U199" si="110">+T199+1</f>
        <v>20</v>
      </c>
    </row>
    <row r="200" spans="1:21" x14ac:dyDescent="0.25">
      <c r="A200" s="17" t="s">
        <v>1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9"/>
    </row>
    <row r="201" spans="1:21" x14ac:dyDescent="0.25">
      <c r="A201" s="26" t="s">
        <v>10</v>
      </c>
      <c r="B201" s="27">
        <v>2017.568</v>
      </c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8"/>
    </row>
    <row r="202" spans="1:21" x14ac:dyDescent="0.25">
      <c r="A202" s="29" t="s">
        <v>12</v>
      </c>
      <c r="B202" s="27">
        <v>31906.83490048</v>
      </c>
      <c r="C202" s="27"/>
      <c r="D202" s="27"/>
      <c r="E202" s="27"/>
      <c r="F202" s="27"/>
      <c r="G202" s="27"/>
      <c r="H202" s="27"/>
      <c r="I202" s="27"/>
      <c r="J202" s="27"/>
      <c r="K202" s="30"/>
      <c r="L202" s="27"/>
      <c r="M202" s="27"/>
      <c r="N202" s="27"/>
      <c r="O202" s="27"/>
      <c r="P202" s="27"/>
      <c r="Q202" s="27"/>
      <c r="R202" s="27"/>
      <c r="S202" s="27"/>
      <c r="T202" s="27"/>
      <c r="U202" s="28"/>
    </row>
    <row r="203" spans="1:21" x14ac:dyDescent="0.25">
      <c r="A203" s="26" t="s">
        <v>14</v>
      </c>
      <c r="B203" s="27">
        <v>12609.8</v>
      </c>
      <c r="C203" s="27"/>
      <c r="D203" s="27"/>
      <c r="E203" s="27"/>
      <c r="F203" s="27"/>
      <c r="G203" s="27"/>
      <c r="H203" s="27"/>
      <c r="I203" s="27"/>
      <c r="J203" s="27"/>
      <c r="K203" s="30"/>
      <c r="L203" s="27"/>
      <c r="M203" s="27"/>
      <c r="N203" s="27"/>
      <c r="O203" s="27"/>
      <c r="P203" s="27"/>
      <c r="Q203" s="27"/>
      <c r="R203" s="27"/>
      <c r="S203" s="27"/>
      <c r="T203" s="27"/>
      <c r="U203" s="28"/>
    </row>
    <row r="204" spans="1:21" x14ac:dyDescent="0.25">
      <c r="A204" s="26" t="s">
        <v>16</v>
      </c>
      <c r="B204" s="27">
        <v>7349.7119999999995</v>
      </c>
      <c r="C204" s="27"/>
      <c r="D204" s="27"/>
      <c r="E204" s="27"/>
      <c r="F204" s="27"/>
      <c r="G204" s="27"/>
      <c r="H204" s="27"/>
      <c r="I204" s="27"/>
      <c r="J204" s="27"/>
      <c r="K204" s="30"/>
      <c r="L204" s="27"/>
      <c r="M204" s="27"/>
      <c r="N204" s="27"/>
      <c r="O204" s="27"/>
      <c r="P204" s="27"/>
      <c r="Q204" s="27"/>
      <c r="R204" s="27"/>
      <c r="S204" s="27"/>
      <c r="T204" s="27"/>
      <c r="U204" s="28"/>
    </row>
    <row r="205" spans="1:21" x14ac:dyDescent="0.25">
      <c r="A205" s="26" t="s">
        <v>18</v>
      </c>
      <c r="B205" s="27">
        <v>9943.7279999999992</v>
      </c>
      <c r="C205" s="27"/>
      <c r="D205" s="27"/>
      <c r="E205" s="27"/>
      <c r="F205" s="27"/>
      <c r="G205" s="27"/>
      <c r="H205" s="27"/>
      <c r="I205" s="27"/>
      <c r="J205" s="27"/>
      <c r="K205" s="30"/>
      <c r="L205" s="27"/>
      <c r="M205" s="27"/>
      <c r="N205" s="27"/>
      <c r="O205" s="27"/>
      <c r="P205" s="27"/>
      <c r="Q205" s="27"/>
      <c r="R205" s="27"/>
      <c r="S205" s="27"/>
      <c r="T205" s="27"/>
      <c r="U205" s="28"/>
    </row>
    <row r="206" spans="1:21" x14ac:dyDescent="0.25">
      <c r="A206" s="26" t="s">
        <v>20</v>
      </c>
      <c r="B206" s="27">
        <v>11240.735999999999</v>
      </c>
      <c r="C206" s="27"/>
      <c r="D206" s="27"/>
      <c r="E206" s="27"/>
      <c r="F206" s="27"/>
      <c r="G206" s="27"/>
      <c r="H206" s="27"/>
      <c r="I206" s="27"/>
      <c r="J206" s="27"/>
      <c r="K206" s="30"/>
      <c r="L206" s="27"/>
      <c r="M206" s="27"/>
      <c r="N206" s="27"/>
      <c r="O206" s="27"/>
      <c r="P206" s="27"/>
      <c r="Q206" s="27"/>
      <c r="R206" s="27"/>
      <c r="S206" s="27"/>
      <c r="T206" s="27"/>
      <c r="U206" s="28"/>
    </row>
    <row r="207" spans="1:21" x14ac:dyDescent="0.25">
      <c r="A207" s="26" t="s">
        <v>22</v>
      </c>
      <c r="B207" s="27">
        <v>2161.6799999999998</v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8"/>
    </row>
    <row r="208" spans="1:21" x14ac:dyDescent="0.25">
      <c r="A208" s="26" t="s">
        <v>24</v>
      </c>
      <c r="B208" s="27">
        <v>274.53336000000002</v>
      </c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8"/>
    </row>
    <row r="209" spans="1:21" x14ac:dyDescent="0.25">
      <c r="A209" s="26" t="s">
        <v>26</v>
      </c>
      <c r="B209" s="27">
        <v>422.24815999999998</v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8"/>
    </row>
    <row r="210" spans="1:21" x14ac:dyDescent="0.25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8"/>
    </row>
    <row r="211" spans="1:21" x14ac:dyDescent="0.25">
      <c r="A211" s="26" t="s">
        <v>28</v>
      </c>
      <c r="B211" s="27">
        <v>77926.840420480003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8"/>
    </row>
    <row r="212" spans="1:21" x14ac:dyDescent="0.25">
      <c r="A212" s="26" t="s">
        <v>29</v>
      </c>
      <c r="B212" s="27">
        <v>3896.3417328</v>
      </c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8"/>
    </row>
    <row r="213" spans="1:21" x14ac:dyDescent="0.25">
      <c r="A213" s="26" t="s">
        <v>31</v>
      </c>
      <c r="B213" s="27">
        <v>7792.6834656000001</v>
      </c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8"/>
    </row>
    <row r="214" spans="1:21" x14ac:dyDescent="0.25">
      <c r="A214" s="26" t="s">
        <v>33</v>
      </c>
      <c r="B214" s="27">
        <v>896158.84929887997</v>
      </c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8"/>
    </row>
    <row r="215" spans="1:21" x14ac:dyDescent="0.25">
      <c r="A215" s="26" t="s">
        <v>66</v>
      </c>
      <c r="B215" s="27">
        <v>17027.01438112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8"/>
    </row>
    <row r="216" spans="1:21" x14ac:dyDescent="0.25">
      <c r="A216" s="26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8"/>
    </row>
    <row r="217" spans="1:21" x14ac:dyDescent="0.25">
      <c r="A217" s="25" t="s">
        <v>48</v>
      </c>
      <c r="B217" s="27">
        <v>106642.87999999999</v>
      </c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8"/>
    </row>
    <row r="218" spans="1:21" x14ac:dyDescent="0.25">
      <c r="A218" s="31" t="s">
        <v>49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8"/>
    </row>
    <row r="219" spans="1:21" x14ac:dyDescent="0.25">
      <c r="A219" s="32" t="s">
        <v>50</v>
      </c>
      <c r="B219" s="27"/>
      <c r="C219" s="27">
        <v>17</v>
      </c>
      <c r="D219" s="27">
        <v>17</v>
      </c>
      <c r="E219" s="27">
        <v>17</v>
      </c>
      <c r="F219" s="27">
        <v>17</v>
      </c>
      <c r="G219" s="27">
        <v>17</v>
      </c>
      <c r="H219" s="27">
        <v>17</v>
      </c>
      <c r="I219" s="27">
        <v>17</v>
      </c>
      <c r="J219" s="27">
        <v>17</v>
      </c>
      <c r="K219" s="27">
        <v>17</v>
      </c>
      <c r="L219" s="27">
        <v>17</v>
      </c>
      <c r="M219" s="27">
        <v>17</v>
      </c>
      <c r="N219" s="27">
        <v>17</v>
      </c>
      <c r="O219" s="27">
        <v>17</v>
      </c>
      <c r="P219" s="27">
        <v>17</v>
      </c>
      <c r="Q219" s="27">
        <v>17</v>
      </c>
      <c r="R219" s="27">
        <v>17</v>
      </c>
      <c r="S219" s="27">
        <v>17</v>
      </c>
      <c r="T219" s="27">
        <v>17</v>
      </c>
      <c r="U219" s="28">
        <v>17</v>
      </c>
    </row>
    <row r="220" spans="1:21" x14ac:dyDescent="0.25">
      <c r="A220" s="32" t="s">
        <v>52</v>
      </c>
      <c r="B220" s="27"/>
      <c r="C220" s="27">
        <v>51</v>
      </c>
      <c r="D220" s="27">
        <v>51</v>
      </c>
      <c r="E220" s="27">
        <v>51</v>
      </c>
      <c r="F220" s="27">
        <v>51</v>
      </c>
      <c r="G220" s="27">
        <v>51</v>
      </c>
      <c r="H220" s="27">
        <v>51</v>
      </c>
      <c r="I220" s="27">
        <v>51</v>
      </c>
      <c r="J220" s="27">
        <v>51</v>
      </c>
      <c r="K220" s="27">
        <v>51</v>
      </c>
      <c r="L220" s="27">
        <v>51</v>
      </c>
      <c r="M220" s="27">
        <v>51</v>
      </c>
      <c r="N220" s="27">
        <v>51</v>
      </c>
      <c r="O220" s="27">
        <v>51</v>
      </c>
      <c r="P220" s="27">
        <v>51</v>
      </c>
      <c r="Q220" s="27">
        <v>51</v>
      </c>
      <c r="R220" s="27">
        <v>51</v>
      </c>
      <c r="S220" s="27">
        <v>51</v>
      </c>
      <c r="T220" s="27">
        <v>51</v>
      </c>
      <c r="U220" s="28">
        <v>51</v>
      </c>
    </row>
    <row r="221" spans="1:21" x14ac:dyDescent="0.25">
      <c r="A221" s="32" t="s">
        <v>51</v>
      </c>
      <c r="B221" s="27"/>
      <c r="C221" s="27">
        <v>36</v>
      </c>
      <c r="D221" s="27">
        <v>36</v>
      </c>
      <c r="E221" s="27">
        <v>36</v>
      </c>
      <c r="F221" s="27">
        <v>36</v>
      </c>
      <c r="G221" s="27">
        <v>36</v>
      </c>
      <c r="H221" s="27">
        <v>36</v>
      </c>
      <c r="I221" s="27">
        <v>36</v>
      </c>
      <c r="J221" s="27">
        <v>36</v>
      </c>
      <c r="K221" s="27">
        <v>36</v>
      </c>
      <c r="L221" s="27">
        <v>36</v>
      </c>
      <c r="M221" s="27">
        <v>36</v>
      </c>
      <c r="N221" s="27">
        <v>36</v>
      </c>
      <c r="O221" s="27">
        <v>36</v>
      </c>
      <c r="P221" s="27">
        <v>36</v>
      </c>
      <c r="Q221" s="27">
        <v>36</v>
      </c>
      <c r="R221" s="27">
        <v>36</v>
      </c>
      <c r="S221" s="27">
        <v>36</v>
      </c>
      <c r="T221" s="27">
        <v>36</v>
      </c>
      <c r="U221" s="28">
        <v>36</v>
      </c>
    </row>
    <row r="222" spans="1:21" x14ac:dyDescent="0.25">
      <c r="A222" s="26" t="s">
        <v>53</v>
      </c>
      <c r="B222" s="27"/>
      <c r="C222" s="27"/>
      <c r="D222" s="27"/>
      <c r="E222" s="27"/>
      <c r="F222" s="27"/>
      <c r="G222" s="27">
        <v>128.25968</v>
      </c>
      <c r="H222" s="27"/>
      <c r="I222" s="27"/>
      <c r="J222" s="27"/>
      <c r="K222" s="33">
        <v>648.50400000000002</v>
      </c>
      <c r="L222" s="27"/>
      <c r="M222" s="27">
        <v>128.25968</v>
      </c>
      <c r="N222" s="27"/>
      <c r="O222" s="27"/>
      <c r="P222" s="27"/>
      <c r="Q222" s="27"/>
      <c r="R222" s="27"/>
      <c r="S222" s="27">
        <v>128.25968</v>
      </c>
      <c r="T222" s="27"/>
      <c r="U222" s="28"/>
    </row>
    <row r="223" spans="1:21" x14ac:dyDescent="0.25">
      <c r="A223" s="26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8"/>
    </row>
    <row r="224" spans="1:21" x14ac:dyDescent="0.25">
      <c r="A224" s="17" t="s">
        <v>37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9"/>
    </row>
    <row r="225" spans="1:21" x14ac:dyDescent="0.25">
      <c r="A225" s="32" t="s">
        <v>38</v>
      </c>
      <c r="B225" s="37">
        <v>10491.441220096</v>
      </c>
      <c r="C225" s="37">
        <v>10543.89827632</v>
      </c>
      <c r="D225" s="37">
        <v>10561.891235968</v>
      </c>
      <c r="E225" s="37">
        <v>10579.757953503999</v>
      </c>
      <c r="F225" s="37">
        <v>10597.499870047999</v>
      </c>
      <c r="G225" s="37">
        <v>10615.117562047999</v>
      </c>
      <c r="H225" s="37">
        <v>10632.611894176</v>
      </c>
      <c r="I225" s="37">
        <v>10649.983731103999</v>
      </c>
      <c r="J225" s="37">
        <v>10667.233937503999</v>
      </c>
      <c r="K225" s="37">
        <v>10684.363378048</v>
      </c>
      <c r="L225" s="37">
        <v>10701.372917408</v>
      </c>
      <c r="M225" s="37">
        <v>10718.263420256</v>
      </c>
      <c r="N225" s="37">
        <v>10735.035751264</v>
      </c>
      <c r="O225" s="37">
        <v>10751.690486879999</v>
      </c>
      <c r="P225" s="37">
        <v>10768.228779999999</v>
      </c>
      <c r="Q225" s="37">
        <v>10784.651207072</v>
      </c>
      <c r="R225" s="37">
        <v>10800.958920992</v>
      </c>
      <c r="S225" s="37">
        <v>10817.152209984</v>
      </c>
      <c r="T225" s="37">
        <v>10833.232226943999</v>
      </c>
      <c r="U225" s="38">
        <v>10849.199836543999</v>
      </c>
    </row>
    <row r="226" spans="1:21" x14ac:dyDescent="0.25">
      <c r="A226" s="32" t="s">
        <v>46</v>
      </c>
      <c r="B226" s="37">
        <v>628.32000000000005</v>
      </c>
      <c r="C226" s="37">
        <v>628.32000000000005</v>
      </c>
      <c r="D226" s="37">
        <v>628.32000000000005</v>
      </c>
      <c r="E226" s="37">
        <v>628.32000000000005</v>
      </c>
      <c r="F226" s="37">
        <v>628.32000000000005</v>
      </c>
      <c r="G226" s="37">
        <v>628.32000000000005</v>
      </c>
      <c r="H226" s="37">
        <v>628.32000000000005</v>
      </c>
      <c r="I226" s="37">
        <v>628.32000000000005</v>
      </c>
      <c r="J226" s="37">
        <v>628.32000000000005</v>
      </c>
      <c r="K226" s="37">
        <v>628.32000000000005</v>
      </c>
      <c r="L226" s="37">
        <v>628.32000000000005</v>
      </c>
      <c r="M226" s="37">
        <v>628.32000000000005</v>
      </c>
      <c r="N226" s="37">
        <v>628.32000000000005</v>
      </c>
      <c r="O226" s="37">
        <v>628.32000000000005</v>
      </c>
      <c r="P226" s="37">
        <v>628.32000000000005</v>
      </c>
      <c r="Q226" s="37">
        <v>628.32000000000005</v>
      </c>
      <c r="R226" s="37">
        <v>628.32000000000005</v>
      </c>
      <c r="S226" s="37">
        <v>628.32000000000005</v>
      </c>
      <c r="T226" s="37">
        <v>628.32000000000005</v>
      </c>
      <c r="U226" s="38">
        <v>628.32000000000005</v>
      </c>
    </row>
    <row r="227" spans="1:21" x14ac:dyDescent="0.25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2"/>
    </row>
    <row r="228" spans="1:21" x14ac:dyDescent="0.25">
      <c r="A228" s="34" t="s">
        <v>64</v>
      </c>
      <c r="B228" s="23">
        <v>1</v>
      </c>
      <c r="C228" s="23">
        <v>0.90909090909090906</v>
      </c>
      <c r="D228" s="23">
        <v>0.82644628099173545</v>
      </c>
      <c r="E228" s="23">
        <v>0.75131480090157754</v>
      </c>
      <c r="F228" s="23">
        <v>0.68301345536507052</v>
      </c>
      <c r="G228" s="23">
        <v>0.62092132305915493</v>
      </c>
      <c r="H228" s="23">
        <v>0.56447393005377722</v>
      </c>
      <c r="I228" s="23">
        <v>0.51315811823070645</v>
      </c>
      <c r="J228" s="23">
        <v>0.46650738020973315</v>
      </c>
      <c r="K228" s="23">
        <v>0.42409761837248466</v>
      </c>
      <c r="L228" s="23">
        <v>0.38554328942953148</v>
      </c>
      <c r="M228" s="23">
        <v>0.3504938994813922</v>
      </c>
      <c r="N228" s="23">
        <v>0.31863081771035656</v>
      </c>
      <c r="O228" s="23">
        <v>0.28966437973668779</v>
      </c>
      <c r="P228" s="23">
        <v>0.26333125430607973</v>
      </c>
      <c r="Q228" s="23">
        <v>0.23939204936916339</v>
      </c>
      <c r="R228" s="23">
        <v>0.21762913579014853</v>
      </c>
      <c r="S228" s="23">
        <v>0.19784466890013502</v>
      </c>
      <c r="T228" s="23">
        <v>0.17985878990921364</v>
      </c>
      <c r="U228" s="24">
        <v>0.16350799082655781</v>
      </c>
    </row>
    <row r="229" spans="1:21" x14ac:dyDescent="0.25">
      <c r="A229" s="35" t="s">
        <v>44</v>
      </c>
      <c r="B229" s="23">
        <f>((B225+B226)-(B217)*B228)</f>
        <v>-95523.118779903991</v>
      </c>
      <c r="C229" s="23">
        <f t="shared" ref="C229:U229" si="111">((C225+C226)-SUM(C219:C221)*C228)</f>
        <v>11077.672821774546</v>
      </c>
      <c r="D229" s="23">
        <f t="shared" si="111"/>
        <v>11104.260822744858</v>
      </c>
      <c r="E229" s="23">
        <f t="shared" si="111"/>
        <v>11129.941214210234</v>
      </c>
      <c r="F229" s="23">
        <f t="shared" si="111"/>
        <v>11154.786470690031</v>
      </c>
      <c r="G229" s="23">
        <f t="shared" si="111"/>
        <v>11178.861744449847</v>
      </c>
      <c r="H229" s="23">
        <f t="shared" si="111"/>
        <v>11202.226605450407</v>
      </c>
      <c r="I229" s="23">
        <f t="shared" si="111"/>
        <v>11224.935286808006</v>
      </c>
      <c r="J229" s="23">
        <f t="shared" si="111"/>
        <v>11247.037169962186</v>
      </c>
      <c r="K229" s="23">
        <f t="shared" si="111"/>
        <v>11268.577225737261</v>
      </c>
      <c r="L229" s="23">
        <f t="shared" si="111"/>
        <v>11289.596415307329</v>
      </c>
      <c r="M229" s="23">
        <f t="shared" si="111"/>
        <v>11310.132054709935</v>
      </c>
      <c r="N229" s="23">
        <f t="shared" si="111"/>
        <v>11330.218146222123</v>
      </c>
      <c r="O229" s="23">
        <f t="shared" si="111"/>
        <v>11349.885391387383</v>
      </c>
      <c r="P229" s="23">
        <f t="shared" si="111"/>
        <v>11369.162329552168</v>
      </c>
      <c r="Q229" s="23">
        <f t="shared" si="111"/>
        <v>11388.074433937607</v>
      </c>
      <c r="R229" s="23">
        <f t="shared" si="111"/>
        <v>11406.645490869823</v>
      </c>
      <c r="S229" s="23">
        <f t="shared" si="111"/>
        <v>11424.896364418386</v>
      </c>
      <c r="T229" s="23">
        <f t="shared" si="111"/>
        <v>11442.84691279344</v>
      </c>
      <c r="U229" s="24">
        <f t="shared" si="111"/>
        <v>11460.515005498037</v>
      </c>
    </row>
    <row r="231" spans="1:21" x14ac:dyDescent="0.25">
      <c r="A231" s="12" t="s">
        <v>45</v>
      </c>
      <c r="B231" s="12">
        <f>SUM(B229:U229)</f>
        <v>118837.15312661961</v>
      </c>
    </row>
  </sheetData>
  <pageMargins left="0.7" right="0.7" top="0.75" bottom="0.75" header="0.3" footer="0.3"/>
  <pageSetup paperSize="9" orientation="landscape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1DEA-AED1-475D-84F1-9D92AD6F4ACC}">
  <dimension ref="A1:G38"/>
  <sheetViews>
    <sheetView topLeftCell="A28" zoomScale="140" zoomScaleNormal="140" workbookViewId="0">
      <selection activeCell="B3" sqref="B3"/>
    </sheetView>
  </sheetViews>
  <sheetFormatPr defaultRowHeight="15" x14ac:dyDescent="0.25"/>
  <cols>
    <col min="1" max="1" width="16.28515625" customWidth="1"/>
    <col min="2" max="2" width="22.42578125" customWidth="1"/>
    <col min="3" max="3" width="43.140625" customWidth="1"/>
    <col min="4" max="4" width="19.140625" customWidth="1"/>
    <col min="5" max="5" width="13.85546875" customWidth="1"/>
    <col min="6" max="6" width="27.42578125" customWidth="1"/>
  </cols>
  <sheetData>
    <row r="1" spans="1:7" x14ac:dyDescent="0.25">
      <c r="D1" t="s">
        <v>8</v>
      </c>
      <c r="F1" t="s">
        <v>9</v>
      </c>
    </row>
    <row r="2" spans="1:7" x14ac:dyDescent="0.25">
      <c r="A2" t="s">
        <v>6</v>
      </c>
      <c r="B2" t="s">
        <v>4</v>
      </c>
      <c r="D2" t="s">
        <v>2</v>
      </c>
      <c r="E2" t="s">
        <v>3</v>
      </c>
      <c r="F2" t="s">
        <v>2</v>
      </c>
      <c r="G2" t="s">
        <v>3</v>
      </c>
    </row>
    <row r="3" spans="1:7" x14ac:dyDescent="0.25">
      <c r="A3" t="s">
        <v>5</v>
      </c>
      <c r="B3" s="4">
        <v>1.4411199999999999E-3</v>
      </c>
      <c r="C3" t="s">
        <v>7</v>
      </c>
      <c r="D3">
        <v>9100007</v>
      </c>
      <c r="E3">
        <f>D3*0.0014</f>
        <v>12740.0098</v>
      </c>
    </row>
    <row r="4" spans="1:7" x14ac:dyDescent="0.25">
      <c r="D4">
        <v>1400000</v>
      </c>
    </row>
    <row r="6" spans="1:7" x14ac:dyDescent="0.25">
      <c r="C6" s="3" t="s">
        <v>1</v>
      </c>
    </row>
    <row r="7" spans="1:7" x14ac:dyDescent="0.25">
      <c r="C7" s="2" t="s">
        <v>10</v>
      </c>
      <c r="D7">
        <v>1400000</v>
      </c>
      <c r="E7">
        <f>D7*$B$3</f>
        <v>2017.568</v>
      </c>
      <c r="F7">
        <v>2681580</v>
      </c>
      <c r="G7">
        <f>F7*$B$3</f>
        <v>3864.4785695999999</v>
      </c>
    </row>
    <row r="8" spans="1:7" x14ac:dyDescent="0.25">
      <c r="C8" s="5" t="s">
        <v>12</v>
      </c>
      <c r="D8">
        <v>22140304</v>
      </c>
      <c r="E8">
        <f t="shared" ref="E8:E21" si="0">D8*$B$3</f>
        <v>31906.83490048</v>
      </c>
      <c r="F8">
        <v>22706743</v>
      </c>
      <c r="G8">
        <f t="shared" ref="G8:G21" si="1">F8*$B$3</f>
        <v>32723.141472159998</v>
      </c>
    </row>
    <row r="9" spans="1:7" x14ac:dyDescent="0.25">
      <c r="C9" t="s">
        <v>14</v>
      </c>
      <c r="D9">
        <v>8750000</v>
      </c>
      <c r="E9">
        <f t="shared" si="0"/>
        <v>12609.8</v>
      </c>
      <c r="F9">
        <v>7711671</v>
      </c>
      <c r="G9">
        <f t="shared" si="1"/>
        <v>11113.443311519999</v>
      </c>
    </row>
    <row r="10" spans="1:7" x14ac:dyDescent="0.25">
      <c r="C10" s="6" t="s">
        <v>16</v>
      </c>
      <c r="D10">
        <v>5100000</v>
      </c>
      <c r="E10">
        <f t="shared" si="0"/>
        <v>7349.7119999999995</v>
      </c>
      <c r="F10">
        <v>834423</v>
      </c>
      <c r="G10">
        <f t="shared" si="1"/>
        <v>1202.5036737599999</v>
      </c>
    </row>
    <row r="11" spans="1:7" x14ac:dyDescent="0.25">
      <c r="C11" t="s">
        <v>18</v>
      </c>
      <c r="D11">
        <v>6900000</v>
      </c>
      <c r="E11">
        <f t="shared" si="0"/>
        <v>9943.7279999999992</v>
      </c>
      <c r="F11">
        <v>1253328</v>
      </c>
      <c r="G11">
        <f t="shared" si="1"/>
        <v>1806.19604736</v>
      </c>
    </row>
    <row r="12" spans="1:7" x14ac:dyDescent="0.25">
      <c r="C12" t="s">
        <v>20</v>
      </c>
      <c r="D12">
        <v>7800000</v>
      </c>
      <c r="E12">
        <f t="shared" si="0"/>
        <v>11240.735999999999</v>
      </c>
      <c r="F12">
        <v>3370009</v>
      </c>
      <c r="G12">
        <f t="shared" si="1"/>
        <v>4856.5873700800003</v>
      </c>
    </row>
    <row r="13" spans="1:7" x14ac:dyDescent="0.25">
      <c r="C13" t="s">
        <v>22</v>
      </c>
      <c r="D13">
        <v>1500000</v>
      </c>
      <c r="E13">
        <f t="shared" si="0"/>
        <v>2161.6799999999998</v>
      </c>
      <c r="F13">
        <v>1195000</v>
      </c>
      <c r="G13">
        <f t="shared" si="1"/>
        <v>1722.1384</v>
      </c>
    </row>
    <row r="14" spans="1:7" x14ac:dyDescent="0.25">
      <c r="C14" t="s">
        <v>24</v>
      </c>
      <c r="D14">
        <v>190500</v>
      </c>
      <c r="E14">
        <f t="shared" si="0"/>
        <v>274.53336000000002</v>
      </c>
      <c r="F14">
        <v>482897</v>
      </c>
      <c r="G14">
        <f t="shared" si="1"/>
        <v>695.91252464000002</v>
      </c>
    </row>
    <row r="15" spans="1:7" x14ac:dyDescent="0.25">
      <c r="C15" t="s">
        <v>26</v>
      </c>
      <c r="D15">
        <v>293000</v>
      </c>
      <c r="E15">
        <f t="shared" si="0"/>
        <v>422.24815999999998</v>
      </c>
      <c r="F15">
        <v>385000</v>
      </c>
      <c r="G15">
        <f t="shared" si="1"/>
        <v>554.83119999999997</v>
      </c>
    </row>
    <row r="16" spans="1:7" x14ac:dyDescent="0.25">
      <c r="C16" t="s">
        <v>28</v>
      </c>
      <c r="D16">
        <v>54073804</v>
      </c>
      <c r="E16">
        <f t="shared" si="0"/>
        <v>77926.840420480003</v>
      </c>
      <c r="F16">
        <v>48130652</v>
      </c>
      <c r="G16">
        <f t="shared" si="1"/>
        <v>69362.045210240001</v>
      </c>
    </row>
    <row r="17" spans="3:7" x14ac:dyDescent="0.25">
      <c r="C17" t="s">
        <v>29</v>
      </c>
      <c r="D17">
        <v>2703690</v>
      </c>
      <c r="E17">
        <f t="shared" si="0"/>
        <v>3896.3417328</v>
      </c>
      <c r="F17">
        <v>2406533</v>
      </c>
      <c r="G17">
        <f t="shared" si="1"/>
        <v>3468.1028369599999</v>
      </c>
    </row>
    <row r="18" spans="3:7" x14ac:dyDescent="0.25">
      <c r="C18" t="s">
        <v>31</v>
      </c>
      <c r="D18">
        <v>5407380</v>
      </c>
      <c r="E18">
        <f t="shared" si="0"/>
        <v>7792.6834656000001</v>
      </c>
      <c r="F18">
        <v>2406533</v>
      </c>
      <c r="G18">
        <f t="shared" si="1"/>
        <v>3468.1028369599999</v>
      </c>
    </row>
    <row r="19" spans="3:7" x14ac:dyDescent="0.25">
      <c r="C19" t="s">
        <v>33</v>
      </c>
      <c r="D19">
        <v>621848874</v>
      </c>
      <c r="E19">
        <f t="shared" si="0"/>
        <v>896158.84929887997</v>
      </c>
      <c r="F19">
        <v>52943717</v>
      </c>
      <c r="G19">
        <f t="shared" si="1"/>
        <v>76298.249443039997</v>
      </c>
    </row>
    <row r="20" spans="3:7" x14ac:dyDescent="0.25">
      <c r="C20" t="s">
        <v>35</v>
      </c>
      <c r="D20">
        <v>11815126</v>
      </c>
      <c r="E20">
        <f t="shared" si="0"/>
        <v>17027.01438112</v>
      </c>
      <c r="F20">
        <v>10059306</v>
      </c>
      <c r="G20">
        <f t="shared" si="1"/>
        <v>14496.66706272</v>
      </c>
    </row>
    <row r="21" spans="3:7" x14ac:dyDescent="0.25">
      <c r="C21" s="1" t="s">
        <v>36</v>
      </c>
      <c r="D21">
        <v>74000000</v>
      </c>
      <c r="E21">
        <f t="shared" si="0"/>
        <v>106642.87999999999</v>
      </c>
      <c r="F21">
        <v>63003023</v>
      </c>
      <c r="G21">
        <f t="shared" si="1"/>
        <v>90794.916505759989</v>
      </c>
    </row>
    <row r="23" spans="3:7" x14ac:dyDescent="0.25">
      <c r="C23" t="s">
        <v>47</v>
      </c>
      <c r="E23">
        <f>D23*B3</f>
        <v>0</v>
      </c>
    </row>
    <row r="24" spans="3:7" x14ac:dyDescent="0.25">
      <c r="C24" s="9" t="s">
        <v>50</v>
      </c>
      <c r="D24">
        <v>12000</v>
      </c>
      <c r="E24">
        <f>D24*$B$3</f>
        <v>17.29344</v>
      </c>
    </row>
    <row r="25" spans="3:7" x14ac:dyDescent="0.25">
      <c r="C25" s="9" t="s">
        <v>52</v>
      </c>
      <c r="D25">
        <v>35118</v>
      </c>
      <c r="E25">
        <f t="shared" ref="E25:E26" si="2">D25*$B$3</f>
        <v>50.609252159999997</v>
      </c>
    </row>
    <row r="26" spans="3:7" x14ac:dyDescent="0.25">
      <c r="C26" s="9" t="s">
        <v>51</v>
      </c>
      <c r="D26">
        <v>25000</v>
      </c>
      <c r="E26">
        <f t="shared" si="2"/>
        <v>36.027999999999999</v>
      </c>
    </row>
    <row r="28" spans="3:7" x14ac:dyDescent="0.25">
      <c r="C28" t="s">
        <v>53</v>
      </c>
    </row>
    <row r="29" spans="3:7" x14ac:dyDescent="0.25">
      <c r="C29" t="s">
        <v>54</v>
      </c>
      <c r="D29">
        <v>89000</v>
      </c>
      <c r="E29">
        <f>D29*$B$3</f>
        <v>128.25968</v>
      </c>
    </row>
    <row r="30" spans="3:7" x14ac:dyDescent="0.25">
      <c r="C30" t="s">
        <v>55</v>
      </c>
      <c r="D30">
        <v>450000</v>
      </c>
      <c r="E30">
        <f>D30*$B$3</f>
        <v>648.50400000000002</v>
      </c>
    </row>
    <row r="31" spans="3:7" x14ac:dyDescent="0.25">
      <c r="C31" t="s">
        <v>56</v>
      </c>
      <c r="D31">
        <v>155000</v>
      </c>
    </row>
    <row r="38" spans="3:3" x14ac:dyDescent="0.25">
      <c r="C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0ACB-24DF-447F-9073-C5245AC4D1E8}">
  <dimension ref="D2:AA29"/>
  <sheetViews>
    <sheetView workbookViewId="0">
      <selection activeCell="E26" sqref="E26"/>
    </sheetView>
  </sheetViews>
  <sheetFormatPr defaultRowHeight="15" x14ac:dyDescent="0.25"/>
  <cols>
    <col min="4" max="4" width="19" customWidth="1"/>
    <col min="5" max="5" width="29.5703125" customWidth="1"/>
    <col min="6" max="6" width="26.85546875" customWidth="1"/>
    <col min="7" max="7" width="25.28515625" customWidth="1"/>
    <col min="8" max="8" width="20.140625" customWidth="1"/>
  </cols>
  <sheetData>
    <row r="2" spans="4:27" x14ac:dyDescent="0.25">
      <c r="D2" s="40" t="s">
        <v>68</v>
      </c>
      <c r="E2" s="40" t="s">
        <v>69</v>
      </c>
      <c r="F2" s="40" t="s">
        <v>70</v>
      </c>
      <c r="H2" s="4">
        <v>1.4411199999999999E-3</v>
      </c>
    </row>
    <row r="3" spans="4:27" x14ac:dyDescent="0.25">
      <c r="D3" s="40">
        <v>1</v>
      </c>
      <c r="E3" s="40">
        <v>9100076</v>
      </c>
      <c r="F3" s="41">
        <f>E3*$H$2</f>
        <v>13114.301525119999</v>
      </c>
    </row>
    <row r="4" spans="4:27" x14ac:dyDescent="0.25">
      <c r="D4" s="40">
        <f>1+D3</f>
        <v>2</v>
      </c>
      <c r="E4" s="40">
        <v>8918075</v>
      </c>
      <c r="F4" s="41">
        <f t="shared" ref="F4:F22" si="0">E4*$H$2</f>
        <v>12852.016244</v>
      </c>
      <c r="G4" s="39">
        <f t="shared" ref="G4:Z4" si="1">G3*$H$2</f>
        <v>0</v>
      </c>
      <c r="H4" s="39">
        <f t="shared" si="1"/>
        <v>0</v>
      </c>
      <c r="I4" s="39">
        <f t="shared" si="1"/>
        <v>0</v>
      </c>
      <c r="J4" s="39">
        <f t="shared" si="1"/>
        <v>0</v>
      </c>
      <c r="K4" s="39">
        <f t="shared" si="1"/>
        <v>0</v>
      </c>
      <c r="L4" s="39">
        <f t="shared" si="1"/>
        <v>0</v>
      </c>
      <c r="M4" s="39">
        <f t="shared" si="1"/>
        <v>0</v>
      </c>
      <c r="N4" s="39">
        <f t="shared" si="1"/>
        <v>0</v>
      </c>
      <c r="O4" s="39">
        <f t="shared" si="1"/>
        <v>0</v>
      </c>
      <c r="P4" s="39">
        <f t="shared" si="1"/>
        <v>0</v>
      </c>
      <c r="Q4" s="39">
        <f t="shared" si="1"/>
        <v>0</v>
      </c>
      <c r="R4" s="39">
        <f t="shared" si="1"/>
        <v>0</v>
      </c>
      <c r="S4" s="39">
        <f t="shared" si="1"/>
        <v>0</v>
      </c>
      <c r="T4" s="39">
        <f t="shared" si="1"/>
        <v>0</v>
      </c>
      <c r="U4" s="39">
        <f t="shared" si="1"/>
        <v>0</v>
      </c>
      <c r="V4" s="39">
        <f t="shared" si="1"/>
        <v>0</v>
      </c>
      <c r="W4" s="39">
        <f t="shared" si="1"/>
        <v>0</v>
      </c>
      <c r="X4" s="39">
        <f t="shared" si="1"/>
        <v>0</v>
      </c>
      <c r="Y4" s="39">
        <f t="shared" si="1"/>
        <v>0</v>
      </c>
      <c r="Z4" s="39">
        <f t="shared" si="1"/>
        <v>0</v>
      </c>
    </row>
    <row r="5" spans="4:27" x14ac:dyDescent="0.25">
      <c r="D5" s="40">
        <f t="shared" ref="D5:D22" si="2">1+D4</f>
        <v>3</v>
      </c>
      <c r="E5" s="40">
        <v>8855648</v>
      </c>
      <c r="F5" s="41">
        <f t="shared" si="0"/>
        <v>12762.05144576</v>
      </c>
    </row>
    <row r="6" spans="4:27" x14ac:dyDescent="0.25">
      <c r="D6" s="40">
        <f t="shared" si="2"/>
        <v>4</v>
      </c>
      <c r="E6" s="40">
        <v>8793659</v>
      </c>
      <c r="F6" s="41">
        <f t="shared" si="0"/>
        <v>12672.717858079999</v>
      </c>
    </row>
    <row r="7" spans="4:27" x14ac:dyDescent="0.25">
      <c r="D7" s="40">
        <f t="shared" si="2"/>
        <v>5</v>
      </c>
      <c r="E7" s="40">
        <v>8732103</v>
      </c>
      <c r="F7" s="41">
        <f t="shared" si="0"/>
        <v>12584.00827536</v>
      </c>
      <c r="G7" s="39">
        <f t="shared" ref="G7:Z7" si="3">G6*$H$2</f>
        <v>0</v>
      </c>
      <c r="H7" s="39">
        <f t="shared" si="3"/>
        <v>0</v>
      </c>
      <c r="I7" s="39">
        <f t="shared" si="3"/>
        <v>0</v>
      </c>
      <c r="J7" s="39">
        <f t="shared" si="3"/>
        <v>0</v>
      </c>
      <c r="K7" s="39">
        <f t="shared" si="3"/>
        <v>0</v>
      </c>
      <c r="L7" s="39">
        <f t="shared" si="3"/>
        <v>0</v>
      </c>
      <c r="M7" s="39">
        <f t="shared" si="3"/>
        <v>0</v>
      </c>
      <c r="N7" s="39">
        <f t="shared" si="3"/>
        <v>0</v>
      </c>
      <c r="O7" s="39">
        <f t="shared" si="3"/>
        <v>0</v>
      </c>
      <c r="P7" s="39">
        <f t="shared" si="3"/>
        <v>0</v>
      </c>
      <c r="Q7" s="39">
        <f t="shared" si="3"/>
        <v>0</v>
      </c>
      <c r="R7" s="39">
        <f t="shared" si="3"/>
        <v>0</v>
      </c>
      <c r="S7" s="39">
        <f t="shared" si="3"/>
        <v>0</v>
      </c>
      <c r="T7" s="39">
        <f t="shared" si="3"/>
        <v>0</v>
      </c>
      <c r="U7" s="39">
        <f t="shared" si="3"/>
        <v>0</v>
      </c>
      <c r="V7" s="39">
        <f t="shared" si="3"/>
        <v>0</v>
      </c>
      <c r="W7" s="39">
        <f t="shared" si="3"/>
        <v>0</v>
      </c>
      <c r="X7" s="39">
        <f t="shared" si="3"/>
        <v>0</v>
      </c>
      <c r="Y7" s="39">
        <f t="shared" si="3"/>
        <v>0</v>
      </c>
      <c r="Z7" s="39">
        <f t="shared" si="3"/>
        <v>0</v>
      </c>
    </row>
    <row r="8" spans="4:27" x14ac:dyDescent="0.25">
      <c r="D8" s="40">
        <f t="shared" si="2"/>
        <v>6</v>
      </c>
      <c r="E8" s="40">
        <v>8670978</v>
      </c>
      <c r="F8" s="41">
        <f t="shared" si="0"/>
        <v>12495.919815359999</v>
      </c>
      <c r="G8" s="39"/>
    </row>
    <row r="9" spans="4:27" x14ac:dyDescent="0.25">
      <c r="D9" s="40">
        <f t="shared" si="2"/>
        <v>7</v>
      </c>
      <c r="E9" s="40">
        <v>8610281</v>
      </c>
      <c r="F9" s="41">
        <f t="shared" si="0"/>
        <v>12408.448154719999</v>
      </c>
      <c r="G9" s="39"/>
    </row>
    <row r="10" spans="4:27" x14ac:dyDescent="0.25">
      <c r="D10" s="40">
        <f t="shared" si="2"/>
        <v>8</v>
      </c>
      <c r="E10" s="40">
        <v>8550009</v>
      </c>
      <c r="F10" s="41">
        <f t="shared" si="0"/>
        <v>12321.58897008</v>
      </c>
      <c r="G10" s="39">
        <v>13114.301525119999</v>
      </c>
      <c r="H10" s="39">
        <v>13114.301525119999</v>
      </c>
      <c r="I10" s="39">
        <v>12852.016244</v>
      </c>
      <c r="J10" s="39">
        <v>12762.05144576</v>
      </c>
      <c r="K10" s="39">
        <v>12672.717858079999</v>
      </c>
      <c r="L10" s="39">
        <v>12584.00827536</v>
      </c>
      <c r="M10" s="39">
        <v>12495.919815359999</v>
      </c>
      <c r="N10" s="39">
        <v>12408.448154719999</v>
      </c>
      <c r="O10" s="39">
        <v>12321.58897008</v>
      </c>
      <c r="P10" s="39">
        <v>12235.33793808</v>
      </c>
      <c r="Q10" s="39">
        <v>12149.69073536</v>
      </c>
      <c r="R10" s="39">
        <v>12064.64303856</v>
      </c>
      <c r="S10" s="39">
        <v>11980.19052432</v>
      </c>
      <c r="T10" s="39">
        <v>11896.32886928</v>
      </c>
      <c r="U10" s="39">
        <v>11813.055191199999</v>
      </c>
      <c r="V10" s="39">
        <v>11730.3637256</v>
      </c>
      <c r="W10" s="39">
        <v>11648.251590239999</v>
      </c>
      <c r="X10" s="39">
        <v>11566.71302064</v>
      </c>
      <c r="Y10" s="39">
        <v>11485.746575679999</v>
      </c>
      <c r="Z10" s="39">
        <v>11405.34649088</v>
      </c>
      <c r="AA10" s="39">
        <v>11325.50844288</v>
      </c>
    </row>
    <row r="11" spans="4:27" x14ac:dyDescent="0.25">
      <c r="D11" s="40">
        <f t="shared" si="2"/>
        <v>9</v>
      </c>
      <c r="E11" s="40">
        <v>8490159</v>
      </c>
      <c r="F11" s="41">
        <f t="shared" si="0"/>
        <v>12235.33793808</v>
      </c>
      <c r="G11" s="39">
        <v>12852.016244</v>
      </c>
      <c r="H11" s="39"/>
    </row>
    <row r="12" spans="4:27" x14ac:dyDescent="0.25">
      <c r="D12" s="40">
        <f t="shared" si="2"/>
        <v>10</v>
      </c>
      <c r="E12" s="40">
        <v>8430728</v>
      </c>
      <c r="F12" s="41">
        <f t="shared" si="0"/>
        <v>12149.69073536</v>
      </c>
      <c r="G12" s="39">
        <v>12762.05144576</v>
      </c>
      <c r="H12" s="39"/>
    </row>
    <row r="13" spans="4:27" x14ac:dyDescent="0.25">
      <c r="D13" s="40">
        <f t="shared" si="2"/>
        <v>11</v>
      </c>
      <c r="E13" s="40">
        <v>8371713</v>
      </c>
      <c r="F13" s="41">
        <f t="shared" si="0"/>
        <v>12064.64303856</v>
      </c>
      <c r="G13" s="39">
        <v>12672.717858079999</v>
      </c>
      <c r="H13" s="39"/>
    </row>
    <row r="14" spans="4:27" x14ac:dyDescent="0.25">
      <c r="D14" s="40">
        <f t="shared" si="2"/>
        <v>12</v>
      </c>
      <c r="E14" s="40">
        <v>8313111</v>
      </c>
      <c r="F14" s="41">
        <f t="shared" si="0"/>
        <v>11980.19052432</v>
      </c>
      <c r="G14" s="39">
        <v>12584.00827536</v>
      </c>
      <c r="H14" s="39"/>
    </row>
    <row r="15" spans="4:27" x14ac:dyDescent="0.25">
      <c r="D15" s="40">
        <f t="shared" si="2"/>
        <v>13</v>
      </c>
      <c r="E15" s="40">
        <v>8254919</v>
      </c>
      <c r="F15" s="41">
        <f t="shared" si="0"/>
        <v>11896.32886928</v>
      </c>
      <c r="G15" s="39">
        <v>12495.919815359999</v>
      </c>
      <c r="H15" s="39"/>
    </row>
    <row r="16" spans="4:27" x14ac:dyDescent="0.25">
      <c r="D16" s="40">
        <f t="shared" si="2"/>
        <v>14</v>
      </c>
      <c r="E16" s="40">
        <v>8197135</v>
      </c>
      <c r="F16" s="41">
        <f t="shared" si="0"/>
        <v>11813.055191199999</v>
      </c>
      <c r="G16" s="39">
        <v>12408.448154719999</v>
      </c>
      <c r="H16" s="39"/>
    </row>
    <row r="17" spans="4:8" x14ac:dyDescent="0.25">
      <c r="D17" s="40">
        <f t="shared" si="2"/>
        <v>15</v>
      </c>
      <c r="E17" s="40">
        <v>8139755</v>
      </c>
      <c r="F17" s="41">
        <f t="shared" si="0"/>
        <v>11730.3637256</v>
      </c>
      <c r="G17" s="39">
        <v>12321.58897008</v>
      </c>
      <c r="H17" s="39"/>
    </row>
    <row r="18" spans="4:8" x14ac:dyDescent="0.25">
      <c r="D18" s="40">
        <f t="shared" si="2"/>
        <v>16</v>
      </c>
      <c r="E18" s="40">
        <v>8082777</v>
      </c>
      <c r="F18" s="41">
        <f t="shared" si="0"/>
        <v>11648.251590239999</v>
      </c>
      <c r="G18" s="39">
        <v>12235.33793808</v>
      </c>
      <c r="H18" s="39"/>
    </row>
    <row r="19" spans="4:8" x14ac:dyDescent="0.25">
      <c r="D19" s="40">
        <f t="shared" si="2"/>
        <v>17</v>
      </c>
      <c r="E19" s="40">
        <v>8026197</v>
      </c>
      <c r="F19" s="41">
        <f t="shared" si="0"/>
        <v>11566.71302064</v>
      </c>
      <c r="G19" s="39">
        <v>12149.69073536</v>
      </c>
      <c r="H19" s="39"/>
    </row>
    <row r="20" spans="4:8" x14ac:dyDescent="0.25">
      <c r="D20" s="40">
        <f t="shared" si="2"/>
        <v>18</v>
      </c>
      <c r="E20" s="40">
        <v>7970014</v>
      </c>
      <c r="F20" s="41">
        <f t="shared" si="0"/>
        <v>11485.746575679999</v>
      </c>
      <c r="G20" s="39">
        <v>12064.64303856</v>
      </c>
      <c r="H20" s="39"/>
    </row>
    <row r="21" spans="4:8" x14ac:dyDescent="0.25">
      <c r="D21" s="40">
        <f t="shared" si="2"/>
        <v>19</v>
      </c>
      <c r="E21" s="40">
        <v>7914224</v>
      </c>
      <c r="F21" s="41">
        <f t="shared" si="0"/>
        <v>11405.34649088</v>
      </c>
      <c r="G21" s="39">
        <v>11980.19052432</v>
      </c>
      <c r="H21" s="39"/>
    </row>
    <row r="22" spans="4:8" x14ac:dyDescent="0.25">
      <c r="D22" s="40">
        <f t="shared" si="2"/>
        <v>20</v>
      </c>
      <c r="E22" s="40">
        <v>7858824</v>
      </c>
      <c r="F22" s="41">
        <f t="shared" si="0"/>
        <v>11325.50844288</v>
      </c>
      <c r="G22" s="39">
        <v>11896.32886928</v>
      </c>
      <c r="H22" s="39"/>
    </row>
    <row r="23" spans="4:8" x14ac:dyDescent="0.25">
      <c r="G23" s="39">
        <v>11813.055191199999</v>
      </c>
      <c r="H23" s="39"/>
    </row>
    <row r="24" spans="4:8" x14ac:dyDescent="0.25">
      <c r="G24" s="39">
        <v>11730.3637256</v>
      </c>
      <c r="H24" s="39"/>
    </row>
    <row r="25" spans="4:8" x14ac:dyDescent="0.25">
      <c r="D25">
        <v>88.26</v>
      </c>
      <c r="E25">
        <f>D25*H2</f>
        <v>0.1271932512</v>
      </c>
      <c r="G25" s="39">
        <v>11648.251590239999</v>
      </c>
      <c r="H25" s="39"/>
    </row>
    <row r="26" spans="4:8" x14ac:dyDescent="0.25">
      <c r="G26" s="39">
        <v>11566.71302064</v>
      </c>
      <c r="H26" s="39"/>
    </row>
    <row r="27" spans="4:8" x14ac:dyDescent="0.25">
      <c r="G27" s="39">
        <v>11485.746575679999</v>
      </c>
      <c r="H27" s="39"/>
    </row>
    <row r="28" spans="4:8" x14ac:dyDescent="0.25">
      <c r="G28">
        <v>11405.34649088</v>
      </c>
    </row>
    <row r="29" spans="4:8" x14ac:dyDescent="0.25">
      <c r="G29">
        <v>11325.50844288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2C42-4DCE-4715-8736-C07CBB16BD8E}">
  <dimension ref="B1:G2"/>
  <sheetViews>
    <sheetView workbookViewId="0">
      <selection activeCell="G2" sqref="G2"/>
    </sheetView>
  </sheetViews>
  <sheetFormatPr defaultRowHeight="15" x14ac:dyDescent="0.25"/>
  <sheetData>
    <row r="1" spans="2:7" ht="18" x14ac:dyDescent="0.35">
      <c r="B1" t="s">
        <v>39</v>
      </c>
      <c r="C1" t="s">
        <v>40</v>
      </c>
      <c r="F1" s="7"/>
    </row>
    <row r="2" spans="2:7" x14ac:dyDescent="0.25">
      <c r="B2">
        <v>35.700000000000003</v>
      </c>
      <c r="C2">
        <v>17.600000000000001</v>
      </c>
      <c r="G2">
        <f>B2*C2</f>
        <v>628.32000000000005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B381-146D-41FD-865F-FDBB90215F10}">
  <dimension ref="B2:U12"/>
  <sheetViews>
    <sheetView topLeftCell="B1" workbookViewId="0">
      <selection activeCell="B12" sqref="B12:U12"/>
    </sheetView>
  </sheetViews>
  <sheetFormatPr defaultRowHeight="15" x14ac:dyDescent="0.25"/>
  <sheetData>
    <row r="2" spans="2:21" x14ac:dyDescent="0.25">
      <c r="B2" t="s">
        <v>72</v>
      </c>
      <c r="C2">
        <v>-20</v>
      </c>
    </row>
    <row r="4" spans="2:21" x14ac:dyDescent="0.25">
      <c r="B4" s="21">
        <v>0.2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2"/>
    </row>
    <row r="5" spans="2:21" x14ac:dyDescent="0.25">
      <c r="B5" s="39">
        <f>13114.30152512+(13114*0.2)</f>
        <v>15737.101525120001</v>
      </c>
      <c r="C5" s="39">
        <v>12852.016244</v>
      </c>
      <c r="D5" s="39">
        <v>12762.05144576</v>
      </c>
      <c r="E5" s="39">
        <v>12672.717858079999</v>
      </c>
      <c r="F5" s="39">
        <v>12584.00827536</v>
      </c>
      <c r="G5" s="39">
        <v>12495.919815359999</v>
      </c>
      <c r="H5" s="39">
        <v>12408.448154719999</v>
      </c>
      <c r="I5" s="39">
        <v>12321.58897008</v>
      </c>
      <c r="J5" s="39">
        <v>12235.33793808</v>
      </c>
      <c r="K5" s="39">
        <v>12149.69073536</v>
      </c>
      <c r="L5" s="39">
        <v>12064.64303856</v>
      </c>
      <c r="M5" s="39">
        <v>11980.19052432</v>
      </c>
      <c r="N5" s="39">
        <v>11896.32886928</v>
      </c>
      <c r="O5" s="39">
        <v>11813.055191199999</v>
      </c>
      <c r="P5" s="39">
        <v>11730.3637256</v>
      </c>
      <c r="Q5" s="39">
        <v>11648.251590239999</v>
      </c>
      <c r="R5" s="39">
        <v>11566.71302064</v>
      </c>
      <c r="S5" s="39">
        <v>11485.746575679999</v>
      </c>
      <c r="T5" s="39">
        <v>11405.34649088</v>
      </c>
      <c r="U5" s="39">
        <v>11325.50844288</v>
      </c>
    </row>
    <row r="6" spans="2:21" x14ac:dyDescent="0.25">
      <c r="B6" s="42">
        <f>13114.30152512+B5*$B4</f>
        <v>16261.721830144001</v>
      </c>
      <c r="C6" s="42">
        <f>13114.30152512+C5*$B4</f>
        <v>15684.704773919999</v>
      </c>
      <c r="D6" s="42">
        <f t="shared" ref="D6:U6" si="0">13114.30152512+D5*$B4</f>
        <v>15666.711814271999</v>
      </c>
      <c r="E6" s="42">
        <f t="shared" si="0"/>
        <v>15648.845096736</v>
      </c>
      <c r="F6" s="42">
        <f t="shared" si="0"/>
        <v>15631.103180192</v>
      </c>
      <c r="G6" s="42">
        <f t="shared" si="0"/>
        <v>15613.485488192</v>
      </c>
      <c r="H6" s="42">
        <f t="shared" si="0"/>
        <v>15595.991156063999</v>
      </c>
      <c r="I6" s="42">
        <f t="shared" si="0"/>
        <v>15578.619319136</v>
      </c>
      <c r="J6" s="42">
        <f t="shared" si="0"/>
        <v>15561.369112736</v>
      </c>
      <c r="K6" s="42">
        <f t="shared" si="0"/>
        <v>15544.239672191999</v>
      </c>
      <c r="L6" s="42">
        <f t="shared" si="0"/>
        <v>15527.230132831999</v>
      </c>
      <c r="M6" s="42">
        <f t="shared" si="0"/>
        <v>15510.339629983999</v>
      </c>
      <c r="N6" s="42">
        <f t="shared" si="0"/>
        <v>15493.567298975999</v>
      </c>
      <c r="O6" s="42">
        <f t="shared" si="0"/>
        <v>15476.91256336</v>
      </c>
      <c r="P6" s="42">
        <f t="shared" si="0"/>
        <v>15460.37427024</v>
      </c>
      <c r="Q6" s="42">
        <f t="shared" si="0"/>
        <v>15443.951843167999</v>
      </c>
      <c r="R6" s="42">
        <f t="shared" si="0"/>
        <v>15427.644129247999</v>
      </c>
      <c r="S6" s="42">
        <f t="shared" si="0"/>
        <v>15411.450840255999</v>
      </c>
      <c r="T6" s="42">
        <f t="shared" si="0"/>
        <v>15395.370823296</v>
      </c>
      <c r="U6" s="42">
        <f t="shared" si="0"/>
        <v>15379.403213696</v>
      </c>
    </row>
    <row r="8" spans="2:21" x14ac:dyDescent="0.25">
      <c r="B8" t="s">
        <v>73</v>
      </c>
      <c r="C8">
        <v>20</v>
      </c>
    </row>
    <row r="10" spans="2:21" x14ac:dyDescent="0.25">
      <c r="B10" s="21">
        <v>0.2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2"/>
    </row>
    <row r="11" spans="2:21" x14ac:dyDescent="0.25">
      <c r="B11" s="39">
        <v>13114.301525119999</v>
      </c>
      <c r="C11" s="39">
        <v>12852.016244</v>
      </c>
      <c r="D11" s="39">
        <v>12762.05144576</v>
      </c>
      <c r="E11" s="39">
        <v>12672.717858079999</v>
      </c>
      <c r="F11" s="39">
        <v>12584.00827536</v>
      </c>
      <c r="G11" s="39">
        <v>12495.919815359999</v>
      </c>
      <c r="H11" s="39">
        <v>12408.448154719999</v>
      </c>
      <c r="I11" s="39">
        <v>12321.58897008</v>
      </c>
      <c r="J11" s="39">
        <v>12235.33793808</v>
      </c>
      <c r="K11" s="39">
        <v>12149.69073536</v>
      </c>
      <c r="L11" s="39">
        <v>12064.64303856</v>
      </c>
      <c r="M11" s="39">
        <v>11980.19052432</v>
      </c>
      <c r="N11" s="39">
        <v>11896.32886928</v>
      </c>
      <c r="O11" s="39">
        <v>11813.055191199999</v>
      </c>
      <c r="P11" s="39">
        <v>11730.3637256</v>
      </c>
      <c r="Q11" s="39">
        <v>11648.251590239999</v>
      </c>
      <c r="R11" s="39">
        <v>11566.71302064</v>
      </c>
      <c r="S11" s="39">
        <v>11485.746575679999</v>
      </c>
      <c r="T11" s="39">
        <v>11405.34649088</v>
      </c>
      <c r="U11" s="39">
        <v>11325.50844288</v>
      </c>
    </row>
    <row r="12" spans="2:21" x14ac:dyDescent="0.25">
      <c r="B12" s="39">
        <f>13114.30152512-(B11*$B10)</f>
        <v>10491.441220096</v>
      </c>
      <c r="C12" s="39">
        <f t="shared" ref="C12:U12" si="1">13114.30152512-(C11*$B10)</f>
        <v>10543.89827632</v>
      </c>
      <c r="D12" s="39">
        <f t="shared" si="1"/>
        <v>10561.891235968</v>
      </c>
      <c r="E12" s="39">
        <f t="shared" si="1"/>
        <v>10579.757953503999</v>
      </c>
      <c r="F12" s="39">
        <f t="shared" si="1"/>
        <v>10597.499870047999</v>
      </c>
      <c r="G12" s="39">
        <f t="shared" si="1"/>
        <v>10615.117562047999</v>
      </c>
      <c r="H12" s="39">
        <f t="shared" si="1"/>
        <v>10632.611894176</v>
      </c>
      <c r="I12" s="39">
        <f t="shared" si="1"/>
        <v>10649.983731103999</v>
      </c>
      <c r="J12" s="39">
        <f t="shared" si="1"/>
        <v>10667.233937503999</v>
      </c>
      <c r="K12" s="39">
        <f t="shared" si="1"/>
        <v>10684.363378048</v>
      </c>
      <c r="L12" s="39">
        <f t="shared" si="1"/>
        <v>10701.372917408</v>
      </c>
      <c r="M12" s="39">
        <f t="shared" si="1"/>
        <v>10718.263420256</v>
      </c>
      <c r="N12" s="39">
        <f t="shared" si="1"/>
        <v>10735.035751264</v>
      </c>
      <c r="O12" s="39">
        <f t="shared" si="1"/>
        <v>10751.690486879999</v>
      </c>
      <c r="P12" s="39">
        <f t="shared" si="1"/>
        <v>10768.228779999999</v>
      </c>
      <c r="Q12" s="39">
        <f t="shared" si="1"/>
        <v>10784.651207072</v>
      </c>
      <c r="R12" s="39">
        <f t="shared" si="1"/>
        <v>10800.958920992</v>
      </c>
      <c r="S12" s="39">
        <f t="shared" si="1"/>
        <v>10817.152209984</v>
      </c>
      <c r="T12" s="39">
        <f t="shared" si="1"/>
        <v>10833.232226943999</v>
      </c>
      <c r="U12" s="39">
        <f t="shared" si="1"/>
        <v>10849.199836543999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Cost-Benefit</vt:lpstr>
      <vt:lpstr>CH$ to US$</vt:lpstr>
      <vt:lpstr>CH$ to US$ benefits</vt:lpstr>
      <vt:lpstr>CO2 calculation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</cp:lastModifiedBy>
  <dcterms:created xsi:type="dcterms:W3CDTF">2019-05-25T11:00:49Z</dcterms:created>
  <dcterms:modified xsi:type="dcterms:W3CDTF">2019-05-28T11:41:37Z</dcterms:modified>
</cp:coreProperties>
</file>